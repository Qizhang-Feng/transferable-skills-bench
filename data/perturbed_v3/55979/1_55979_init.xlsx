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ummary" sheetId="1" state="visible" r:id="rId1"/>
    <sheet name="Vendor_1" sheetId="2" state="visible" r:id="rId2"/>
    <sheet name="Vendor_2" sheetId="3" state="visible" r:id="rId3"/>
    <sheet name="Vendor_3" sheetId="4" state="visible" r:id="rId4"/>
    <sheet name="Rebate_V1" sheetId="5" state="visible" r:id="rId5"/>
    <sheet name="Discount_S2" sheetId="6" state="visible" r:id="rId6"/>
    <sheet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borderId="0" fillId="0" fontId="3" numFmtId="0"/>
    <xf borderId="0" fillId="0" fontId="3" numFmtId="9"/>
  </cellStyleXfs>
  <cellXfs count="11">
    <xf borderId="0" fillId="0" fontId="0" numFmtId="0" pivotButton="0" quotePrefix="0" xfId="0"/>
    <xf borderId="0" fillId="0" fontId="0" numFmtId="9" pivotButton="0" quotePrefix="0" xfId="1"/>
    <xf applyAlignment="1" borderId="0" fillId="0" fontId="0" numFmtId="0" pivotButton="0" quotePrefix="0" xfId="0">
      <alignment horizontal="center"/>
    </xf>
    <xf applyAlignment="1" borderId="0" fillId="0" fontId="0" numFmtId="0" pivotButton="0" quotePrefix="0" xfId="0">
      <alignment horizontal="right"/>
    </xf>
    <xf borderId="0" fillId="0" fontId="1" numFmtId="0" pivotButton="0" quotePrefix="0" xfId="0"/>
    <xf borderId="0" fillId="0" fontId="2" numFmtId="0" pivotButton="0" quotePrefix="0" xfId="0"/>
    <xf borderId="1" fillId="2" fontId="1" numFmtId="0" pivotButton="0" quotePrefix="0" xfId="0"/>
    <xf borderId="2" fillId="2" fontId="1" numFmtId="0" pivotButton="0" quotePrefix="0" xfId="0"/>
    <xf borderId="3" fillId="2" fontId="1" numFmtId="0" pivotButton="0" quotePrefix="0" xfId="0"/>
    <xf borderId="4" fillId="3" fontId="0" numFmtId="0" pivotButton="0" quotePrefix="0" xfId="0"/>
    <xf borderId="4" fillId="3" fontId="0" numFmtId="9" pivotButton="0" quotePrefix="0" xfId="1"/>
  </cellXfs>
  <cellStyles count="2">
    <cellStyle builtinId="0" name="常规" xfId="0"/>
    <cellStyle builtinId="5" name="百分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customWidth="1" max="1" min="1" width="10.6640625"/>
    <col customWidth="1" max="2" min="2" width="15.6640625"/>
    <col customWidth="1" max="3" min="3" width="8.6640625"/>
    <col customWidth="1" max="6" min="4" width="12"/>
  </cols>
  <sheetData>
    <row r="6">
      <c r="B6" s="4" t="inlineStr">
        <is>
          <t>WHO IS THE SUPPLIER</t>
        </is>
      </c>
      <c r="C6" s="4" t="n"/>
    </row>
    <row r="7">
      <c r="B7" s="5" t="n"/>
    </row>
    <row r="9">
      <c r="A9" s="6" t="inlineStr">
        <is>
          <t>PROD_NO</t>
        </is>
      </c>
      <c r="B9" s="7" t="inlineStr">
        <is>
          <t>DESCR</t>
        </is>
      </c>
      <c r="C9" s="7" t="inlineStr">
        <is>
          <t>Cat-code</t>
        </is>
      </c>
      <c r="D9" s="7" t="inlineStr">
        <is>
          <t>COST</t>
        </is>
      </c>
      <c r="E9" s="7" t="inlineStr">
        <is>
          <t>Rebate</t>
        </is>
      </c>
      <c r="F9" s="8" t="inlineStr">
        <is>
          <t>My cost</t>
        </is>
      </c>
    </row>
    <row r="10">
      <c r="A10" t="inlineStr">
        <is>
          <t>A1111107</t>
        </is>
      </c>
      <c r="B10" s="9">
        <f>IFERROR(VLOOKUP($A$10,Vendor_1!A2:D10,2,FALSE),IFERROR(VLOOKUP($A$10,Vendor_2!A2:D10,2,FALSE),IFERROR(VLOOKUP($A$10,Vendor_3!A2:D10,2,FALSE),"")))</f>
        <v/>
      </c>
      <c r="C10" s="9">
        <f>IFERROR(VLOOKUP($A$10,Vendor_1!A2:D10,3,FALSE),IFERROR(VLOOKUP($A$10,Vendor_2!A2:D10,3,FALSE),IFERROR(VLOOKUP($A$10,Vendor_3!A2:D10,3,FALSE),"")))</f>
        <v/>
      </c>
      <c r="D10" s="9">
        <f>IFERROR(VLOOKUP($A$10,Vendor_1!A2:D10,4,FALSE),IFERROR(VLOOKUP($A$10,Vendor_2!A2:D10,4,FALSE),IFERROR(VLOOKUP($A$10,Vendor_3!A2:D10,4,FALSE),"")))</f>
        <v/>
      </c>
      <c r="E10" s="10">
        <f>IFERROR(VLOOKUP($C$10,Rebate_V1!A2:B5,2,FALSE),IFERROR(VLOOKUP($C$10,Discount_S2!A2:B5,2,FALSE),IFERROR(VLOOKUP($C$10,Discount_S3!A2:B5,2,FALSE),"")))</f>
        <v/>
      </c>
      <c r="F10" s="9">
        <f>D10*(1-E10)</f>
        <v/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0"/>
  <sheetViews>
    <sheetView workbookViewId="0">
      <selection activeCell="D10" sqref="D10"/>
    </sheetView>
  </sheetViews>
  <sheetFormatPr baseColWidth="8" defaultColWidth="9" defaultRowHeight="13.8"/>
  <cols>
    <col customWidth="1" max="1" min="1" width="10.6640625"/>
    <col customWidth="1" max="2" min="2" width="15.6640625"/>
    <col customWidth="1" max="4" min="3" width="8.6640625"/>
  </cols>
  <sheetData>
    <row r="1">
      <c r="A1" t="inlineStr">
        <is>
          <t>Prod_No</t>
        </is>
      </c>
      <c r="B1" t="inlineStr">
        <is>
          <t>Descr</t>
        </is>
      </c>
      <c r="C1" t="inlineStr">
        <is>
          <t>Cat-code</t>
        </is>
      </c>
      <c r="D1" s="3" t="inlineStr">
        <is>
          <t>Cost</t>
        </is>
      </c>
      <c r="E1" t="inlineStr">
        <is>
          <t>Region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  <c r="E2" t="inlineStr">
        <is>
          <t>-</t>
        </is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  <c r="E3" t="inlineStr"/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  <c r="E4" t="inlineStr">
        <is>
          <t>-</t>
        </is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  <c r="E5" t="inlineStr"/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  <c r="E6" t="inlineStr">
        <is>
          <t>N/A</t>
        </is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  <c r="E7" t="inlineStr">
        <is>
          <t>-</t>
        </is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  <c r="E8" t="inlineStr">
        <is>
          <t>N/A</t>
        </is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  <c r="E10" t="inlineStr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customWidth="1" max="1" min="1" width="10.6640625"/>
    <col customWidth="1" max="2" min="2" width="15.6640625"/>
    <col customWidth="1" max="4" min="3" width="8.6640625"/>
  </cols>
  <sheetData>
    <row r="1">
      <c r="A1" t="inlineStr">
        <is>
          <t>Prod_No</t>
        </is>
      </c>
      <c r="B1" t="inlineStr">
        <is>
          <t>Descr</t>
        </is>
      </c>
      <c r="C1" t="inlineStr">
        <is>
          <t>Cat-code</t>
        </is>
      </c>
      <c r="D1" s="3" t="inlineStr">
        <is>
          <t>Cost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customWidth="1" max="1" min="1" width="10.6640625"/>
    <col customWidth="1" max="2" min="2" width="15.6640625"/>
    <col customWidth="1" max="3" min="3" style="2" width="8.6640625"/>
    <col customWidth="1" max="4" min="4" width="8.6640625"/>
  </cols>
  <sheetData>
    <row r="1">
      <c r="A1" t="inlineStr">
        <is>
          <t>Prod_No</t>
        </is>
      </c>
      <c r="B1" t="inlineStr">
        <is>
          <t>Descr</t>
        </is>
      </c>
      <c r="C1" s="2" t="inlineStr">
        <is>
          <t>Cat-code</t>
        </is>
      </c>
      <c r="D1" s="3" t="inlineStr">
        <is>
          <t>Cost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Cat-Code</t>
        </is>
      </c>
      <c r="B1" t="inlineStr">
        <is>
          <t>Rebate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Cat-Code</t>
        </is>
      </c>
      <c r="B1" t="inlineStr">
        <is>
          <t>Rebate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Cat-Code</t>
        </is>
      </c>
      <c r="B1" t="inlineStr">
        <is>
          <t>Rebate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alaur</dc:creator>
  <dcterms:created xsi:type="dcterms:W3CDTF">2021-03-16T21:53:00Z</dcterms:created>
  <dcterms:modified xsi:type="dcterms:W3CDTF">2026-05-02T07:37:58Z</dcterms:modified>
  <cp:lastModifiedBy>紫汐 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B922CB5C1414483C9189BFADDA765EDB_13</vt:lpwstr>
  </property>
  <property fmtid="{D5CDD505-2E9C-101B-9397-08002B2CF9AE}" name="KSOProductBuildVer" pid="3">
    <vt:lpwstr>2052-12.1.0.16729</vt:lpwstr>
  </property>
</Properties>
</file>