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4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5" fontId="9" numFmtId="0">
      <alignment vertical="center"/>
    </xf>
    <xf applyAlignment="1" borderId="5" fillId="6" fontId="10" numFmtId="0">
      <alignment vertical="center"/>
    </xf>
    <xf applyAlignment="1" borderId="4" fillId="6" fontId="11" numFmtId="0">
      <alignment vertical="center"/>
    </xf>
    <xf applyAlignment="1" borderId="6" fillId="7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8" fontId="15" numFmtId="0">
      <alignment vertical="center"/>
    </xf>
    <xf applyAlignment="1" borderId="0" fillId="9" fontId="16" numFmtId="0">
      <alignment vertical="center"/>
    </xf>
    <xf applyAlignment="1" borderId="0" fillId="10" fontId="17" numFmtId="0">
      <alignment vertical="center"/>
    </xf>
    <xf applyAlignment="1" borderId="0" fillId="11" fontId="18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18" numFmtId="0">
      <alignment vertical="center"/>
    </xf>
    <xf applyAlignment="1" borderId="0" fillId="15" fontId="18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18" numFmtId="0">
      <alignment vertical="center"/>
    </xf>
    <xf applyAlignment="1" borderId="0" fillId="19" fontId="18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18" numFmtId="0">
      <alignment vertical="center"/>
    </xf>
    <xf applyAlignment="1" borderId="0" fillId="23" fontId="18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18" numFmtId="0">
      <alignment vertical="center"/>
    </xf>
    <xf applyAlignment="1" borderId="0" fillId="27" fontId="18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18" numFmtId="0">
      <alignment vertical="center"/>
    </xf>
    <xf applyAlignment="1" borderId="0" fillId="31" fontId="18" numFmtId="0">
      <alignment vertical="center"/>
    </xf>
    <xf applyAlignment="1" borderId="0" fillId="32" fontId="19" numFmtId="0">
      <alignment vertical="center"/>
    </xf>
    <xf applyAlignment="1" borderId="0" fillId="33" fontId="19" numFmtId="0">
      <alignment vertical="center"/>
    </xf>
    <xf applyAlignment="1" borderId="0" fillId="34" fontId="18" numFmtId="0">
      <alignment vertical="center"/>
    </xf>
  </cellStyleXfs>
  <cellXfs count="7">
    <xf borderId="0" fillId="0" fontId="0" numFmtId="0" pivotButton="0" quotePrefix="0" xfId="0"/>
    <xf borderId="0" fillId="2" fontId="0" numFmtId="0" pivotButton="0" quotePrefix="0" xfId="0"/>
    <xf borderId="0" fillId="3" fontId="0" numFmtId="0" pivotButton="0" quotePrefix="0" xfId="0"/>
    <xf borderId="0" fillId="2" fontId="0" numFmtId="14" pivotButton="0" quotePrefix="0" xfId="0"/>
    <xf borderId="0" fillId="2" fontId="0" numFmtId="21" pivotButton="0" quotePrefix="0" xfId="0"/>
    <xf borderId="0" fillId="3" fontId="0" numFmtId="14" pivotButton="0" quotePrefix="0" xfId="0"/>
    <xf borderId="0" fillId="3" fontId="0" numFmtId="21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24"/>
  <sheetViews>
    <sheetView tabSelected="1" workbookViewId="0">
      <selection activeCell="H10" sqref="H10"/>
    </sheetView>
  </sheetViews>
  <sheetFormatPr baseColWidth="8" defaultColWidth="9" defaultRowHeight="14"/>
  <cols>
    <col customWidth="1" max="1" min="1" width="12.125"/>
    <col customWidth="1" max="2" min="2" width="12.5"/>
    <col customWidth="1" max="3" min="3" width="10.375"/>
    <col customWidth="1" max="4" min="4" width="13.875"/>
    <col customWidth="1" max="5" min="5" width="23"/>
    <col customWidth="1" max="6" min="6" width="8.625"/>
    <col customWidth="1" max="7" min="7" width="8.875"/>
  </cols>
  <sheetData>
    <row r="1">
      <c r="A1" t="inlineStr">
        <is>
          <t>Post Date</t>
        </is>
      </c>
      <c r="B1" t="inlineStr">
        <is>
          <t>Post Time</t>
        </is>
      </c>
      <c r="C1" t="inlineStr">
        <is>
          <t>Entry Type</t>
        </is>
      </c>
      <c r="D1" t="inlineStr">
        <is>
          <t>Doc No.</t>
        </is>
      </c>
      <c r="E1" t="inlineStr">
        <is>
          <t>Item No.</t>
        </is>
      </c>
      <c r="F1" t="inlineStr">
        <is>
          <t>Qty</t>
        </is>
      </c>
      <c r="G1" t="inlineStr">
        <is>
          <t>Bin Cd</t>
        </is>
      </c>
      <c r="I1" t="inlineStr">
        <is>
          <t>Item Desc.</t>
        </is>
      </c>
    </row>
    <row customFormat="1" r="2" s="1">
      <c r="A2" s="3" t="n">
        <v>44950</v>
      </c>
      <c r="B2" s="4" t="n">
        <v>0.4126388888888889</v>
      </c>
      <c r="C2" s="1" t="inlineStr">
        <is>
          <t>Place</t>
        </is>
      </c>
      <c r="D2" s="1" t="inlineStr">
        <is>
          <t>PWPT3365796</t>
        </is>
      </c>
      <c r="E2" s="1" t="inlineStr">
        <is>
          <t>212-125-OR1</t>
        </is>
      </c>
      <c r="F2" s="1" t="n">
        <v>3</v>
      </c>
      <c r="G2" s="1" t="inlineStr">
        <is>
          <t>BD026</t>
        </is>
      </c>
      <c r="H2" s="1">
        <f ref="H2" t="array">IF(C2&lt;&gt;C3,SUM(1/COUNTIFS(INDEX($E$1:$E2,LARGE(IF($C$1:$C1&lt;&gt;$C$2:$C2,ROW($C$2:$C2),""),1)):E2,INDEX($E$1:$E2,LARGE(IF($C$1:$C1&lt;&gt;$C$2:$C2,ROW($C$2:$C2),""),1)):E2)),"")</f>
        <v/>
      </c>
      <c r="I2" t="inlineStr">
        <is>
          <t>N/A</t>
        </is>
      </c>
    </row>
    <row customFormat="1" r="3" s="1">
      <c r="A3" s="3" t="n">
        <v>44950</v>
      </c>
      <c r="B3" s="4" t="n">
        <v>0.4136342592592593</v>
      </c>
      <c r="C3" s="1" t="inlineStr">
        <is>
          <t>Place</t>
        </is>
      </c>
      <c r="D3" s="1" t="inlineStr">
        <is>
          <t>PWPT3365800</t>
        </is>
      </c>
      <c r="E3" s="1" t="inlineStr">
        <is>
          <t>212-125-OR0.5</t>
        </is>
      </c>
      <c r="F3" s="1" t="n">
        <v>2</v>
      </c>
      <c r="G3" s="1" t="inlineStr">
        <is>
          <t>BD026</t>
        </is>
      </c>
      <c r="H3" s="1">
        <f ref="H3" t="array">IF(C3&lt;&gt;C4,SUM(1/COUNTIFS(INDEX($E$1:$E3,LARGE(IF($C$1:$C2&lt;&gt;$C$2:$C3,ROW($C$2:$C3),""),1)):E3,INDEX($E$1:$E3,LARGE(IF($C$1:$C2&lt;&gt;$C$2:$C3,ROW($C$2:$C3),""),1)):E3)),"")</f>
        <v/>
      </c>
      <c r="I3" t="inlineStr">
        <is>
          <t>-</t>
        </is>
      </c>
    </row>
    <row customFormat="1" r="4" s="1">
      <c r="A4" s="3" t="n">
        <v>44950</v>
      </c>
      <c r="B4" s="4" t="n">
        <v>0.4152546296296296</v>
      </c>
      <c r="C4" s="1" t="inlineStr">
        <is>
          <t>Place</t>
        </is>
      </c>
      <c r="D4" s="1" t="inlineStr">
        <is>
          <t>PWPT3365807</t>
        </is>
      </c>
      <c r="E4" s="1" t="inlineStr">
        <is>
          <t>212-125-WT1.5</t>
        </is>
      </c>
      <c r="F4" s="1" t="n">
        <v>5</v>
      </c>
      <c r="G4" s="1" t="inlineStr">
        <is>
          <t>BD026</t>
        </is>
      </c>
      <c r="H4" s="1">
        <f ref="H4" t="array">IF(C4&lt;&gt;C5,SUM(1/COUNTIFS(INDEX($E$1:$E4,LARGE(IF($C$1:$C3&lt;&gt;$C$2:$C4,ROW($C$2:$C4),""),1)):E4,INDEX($E$1:$E4,LARGE(IF($C$1:$C3&lt;&gt;$C$2:$C4,ROW($C$2:$C4),""),1)):E4)),"")</f>
        <v/>
      </c>
      <c r="I4" t="inlineStr">
        <is>
          <t>N/A</t>
        </is>
      </c>
    </row>
    <row customFormat="1" r="5" s="1">
      <c r="A5" s="3" t="n">
        <v>44950</v>
      </c>
      <c r="B5" s="4" t="n">
        <v>0.4171064814814815</v>
      </c>
      <c r="C5" s="1" t="inlineStr">
        <is>
          <t>Place</t>
        </is>
      </c>
      <c r="D5" s="1" t="inlineStr">
        <is>
          <t>PWPT3365813</t>
        </is>
      </c>
      <c r="E5" s="1" t="inlineStr">
        <is>
          <t>212-125-BL3</t>
        </is>
      </c>
      <c r="F5" s="1" t="n">
        <v>5</v>
      </c>
      <c r="G5" s="1" t="inlineStr">
        <is>
          <t>BD026</t>
        </is>
      </c>
      <c r="H5" s="1">
        <f ref="H5" t="array">IF(C5&lt;&gt;C6,SUM(1/COUNTIFS(INDEX($E$1:$E5,LARGE(IF($C$1:$C4&lt;&gt;$C$2:$C5,ROW($C$2:$C5),""),1)):E5,INDEX($E$1:$E5,LARGE(IF($C$1:$C4&lt;&gt;$C$2:$C5,ROW($C$2:$C5),""),1)):E5)),"")</f>
        <v/>
      </c>
      <c r="I5" t="inlineStr">
        <is>
          <t>N/A</t>
        </is>
      </c>
    </row>
    <row customFormat="1" r="6" s="1">
      <c r="A6" s="3" t="n">
        <v>44950</v>
      </c>
      <c r="B6" s="4" t="n">
        <v>0.4185185185185185</v>
      </c>
      <c r="C6" s="1" t="inlineStr">
        <is>
          <t>Place</t>
        </is>
      </c>
      <c r="D6" s="1" t="inlineStr">
        <is>
          <t>PWPT3365817</t>
        </is>
      </c>
      <c r="E6" s="1" t="inlineStr">
        <is>
          <t>TIE-V1625B</t>
        </is>
      </c>
      <c r="F6" s="1" t="n">
        <v>3</v>
      </c>
      <c r="G6" s="1" t="inlineStr">
        <is>
          <t>BD026</t>
        </is>
      </c>
      <c r="H6" s="1">
        <f ref="H6" t="array">IF(C6&lt;&gt;C7,SUM(1/COUNTIFS(INDEX($E$1:$E6,LARGE(IF($C$1:$C5&lt;&gt;$C$2:$C6,ROW($C$2:$C6),""),1)):E6,INDEX($E$1:$E6,LARGE(IF($C$1:$C5&lt;&gt;$C$2:$C6,ROW($C$2:$C6),""),1)):E6)),"")</f>
        <v/>
      </c>
      <c r="I6" t="inlineStr">
        <is>
          <t>N/A</t>
        </is>
      </c>
    </row>
    <row customFormat="1" r="7" s="1">
      <c r="A7" s="3" t="n">
        <v>44950</v>
      </c>
      <c r="B7" s="4" t="n">
        <v>0.4208796296296296</v>
      </c>
      <c r="C7" s="1" t="inlineStr">
        <is>
          <t>Place</t>
        </is>
      </c>
      <c r="D7" s="1" t="inlineStr">
        <is>
          <t>PWPT3365827</t>
        </is>
      </c>
      <c r="E7" s="1" t="inlineStr">
        <is>
          <t>212-125-VT3</t>
        </is>
      </c>
      <c r="F7" s="1" t="n">
        <v>10</v>
      </c>
      <c r="G7" s="1" t="inlineStr">
        <is>
          <t>BD026</t>
        </is>
      </c>
      <c r="H7" s="1">
        <f ref="H7" t="array">IF(C7&lt;&gt;C8,SUM(1/COUNTIFS(INDEX($E$1:$E7,LARGE(IF($C$1:$C6&lt;&gt;$C$2:$C7,ROW($C$2:$C7),""),1)):E7,INDEX($E$1:$E7,LARGE(IF($C$1:$C6&lt;&gt;$C$2:$C7,ROW($C$2:$C7),""),1)):E7)),"")</f>
        <v/>
      </c>
      <c r="I7" t="inlineStr"/>
    </row>
    <row customFormat="1" r="8" s="1">
      <c r="A8" s="3" t="n">
        <v>44950</v>
      </c>
      <c r="B8" s="4" t="n">
        <v>0.425625</v>
      </c>
      <c r="C8" s="1" t="inlineStr">
        <is>
          <t>Place</t>
        </is>
      </c>
      <c r="D8" s="1" t="inlineStr">
        <is>
          <t>PWPT3365852</t>
        </is>
      </c>
      <c r="E8" s="1" t="inlineStr">
        <is>
          <t>212-125-GY3</t>
        </is>
      </c>
      <c r="F8" s="1" t="n">
        <v>8</v>
      </c>
      <c r="G8" s="1" t="inlineStr">
        <is>
          <t>BD026</t>
        </is>
      </c>
      <c r="H8" s="1">
        <f ref="H8" t="array">IF(C8&lt;&gt;C9,SUM(1/COUNTIFS(INDEX($E$1:$E8,LARGE(IF($C$1:$C7&lt;&gt;$C$2:$C8,ROW($C$2:$C8),""),1)):E8,INDEX($E$1:$E8,LARGE(IF($C$1:$C7&lt;&gt;$C$2:$C8,ROW($C$2:$C8),""),1)):E8)),"")</f>
        <v/>
      </c>
      <c r="I8" t="inlineStr">
        <is>
          <t>-</t>
        </is>
      </c>
    </row>
    <row customFormat="1" r="9" s="1">
      <c r="A9" s="3" t="n">
        <v>44950</v>
      </c>
      <c r="B9" s="4" t="n">
        <v>0.4295717592592593</v>
      </c>
      <c r="C9" s="1" t="inlineStr">
        <is>
          <t>Place</t>
        </is>
      </c>
      <c r="D9" s="1" t="inlineStr">
        <is>
          <t>PWPT3365871</t>
        </is>
      </c>
      <c r="E9" s="1" t="inlineStr">
        <is>
          <t>212-125-YL3</t>
        </is>
      </c>
      <c r="F9" s="1" t="n">
        <v>15</v>
      </c>
      <c r="G9" s="1" t="inlineStr">
        <is>
          <t>BD026</t>
        </is>
      </c>
      <c r="H9" s="1">
        <f ref="H9" t="array">IF(C9&lt;&gt;C10,SUM(1/COUNTIFS(INDEX($E$1:$E9,LARGE(IF($C$1:$C8&lt;&gt;$C$2:$C9,ROW($C$2:$C9),""),1)):E9,INDEX($E$1:$E9,LARGE(IF($C$1:$C8&lt;&gt;$C$2:$C9,ROW($C$2:$C9),""),1)):E9)),"")</f>
        <v/>
      </c>
      <c r="I9" t="inlineStr">
        <is>
          <t>N/A</t>
        </is>
      </c>
    </row>
    <row customFormat="1" r="10" s="1">
      <c r="A10" s="3" t="n">
        <v>44950</v>
      </c>
      <c r="B10" s="4" t="n">
        <v>0.4364930555555556</v>
      </c>
      <c r="C10" s="1" t="inlineStr">
        <is>
          <t>Place</t>
        </is>
      </c>
      <c r="D10" s="1" t="inlineStr">
        <is>
          <t>PWPT3365902</t>
        </is>
      </c>
      <c r="E10" s="1" t="inlineStr">
        <is>
          <t>212-125-GN1.5</t>
        </is>
      </c>
      <c r="F10" s="1" t="n">
        <v>40</v>
      </c>
      <c r="G10" s="1" t="inlineStr">
        <is>
          <t>BD026</t>
        </is>
      </c>
      <c r="H10" s="1" t="n">
        <v>9</v>
      </c>
      <c r="I10" t="inlineStr">
        <is>
          <t>N/A</t>
        </is>
      </c>
    </row>
    <row customFormat="1" r="11" s="2">
      <c r="A11" s="5" t="n">
        <v>44950</v>
      </c>
      <c r="B11" s="6" t="n">
        <v>0.4878125</v>
      </c>
      <c r="C11" s="2" t="inlineStr">
        <is>
          <t>Take</t>
        </is>
      </c>
      <c r="D11" s="2" t="inlineStr">
        <is>
          <t>PWPT3366158</t>
        </is>
      </c>
      <c r="E11" s="2" t="inlineStr">
        <is>
          <t>212-125-YL3</t>
        </is>
      </c>
      <c r="F11" s="2" t="n">
        <v>-15</v>
      </c>
      <c r="G11" s="2" t="inlineStr">
        <is>
          <t>BD026</t>
        </is>
      </c>
      <c r="H11" s="1">
        <f ref="H11" t="array">IF(C11&lt;&gt;C12,SUM(1/COUNTIFS(INDEX($E$1:$E11,LARGE(IF($C$1:$C10&lt;&gt;$C$2:$C11,ROW($C$2:$C11),""),1)):E11,INDEX($E$1:$E11,LARGE(IF($C$1:$C10&lt;&gt;$C$2:$C11,ROW($C$2:$C11),""),1)):E11)),"")</f>
        <v/>
      </c>
    </row>
    <row customFormat="1" r="12" s="2">
      <c r="A12" s="5" t="n">
        <v>44950</v>
      </c>
      <c r="B12" s="6" t="n">
        <v>0.4881134259259259</v>
      </c>
      <c r="C12" s="2" t="inlineStr">
        <is>
          <t>Take</t>
        </is>
      </c>
      <c r="D12" s="2" t="inlineStr">
        <is>
          <t>PWPT3366159</t>
        </is>
      </c>
      <c r="E12" s="2" t="inlineStr">
        <is>
          <t>TIE-V1625B</t>
        </is>
      </c>
      <c r="F12" s="2" t="n">
        <v>-1</v>
      </c>
      <c r="G12" s="2" t="inlineStr">
        <is>
          <t>BD026</t>
        </is>
      </c>
      <c r="H12" s="1">
        <f ref="H12" t="array">IF(C12&lt;&gt;C13,SUM(1/COUNTIFS(INDEX($E$1:$E12,LARGE(IF($C$1:$C11&lt;&gt;$C$2:$C12,ROW($C$2:$C12),""),1)):E12,INDEX($E$1:$E12,LARGE(IF($C$1:$C11&lt;&gt;$C$2:$C12,ROW($C$2:$C12),""),1)):E12)),"")</f>
        <v/>
      </c>
    </row>
    <row customFormat="1" r="13" s="2">
      <c r="A13" s="5" t="n">
        <v>44950</v>
      </c>
      <c r="B13" s="6" t="n">
        <v>0.4883912037037037</v>
      </c>
      <c r="C13" s="2" t="inlineStr">
        <is>
          <t>Take</t>
        </is>
      </c>
      <c r="D13" s="2" t="inlineStr">
        <is>
          <t>PWPT3366160</t>
        </is>
      </c>
      <c r="E13" s="2" t="inlineStr">
        <is>
          <t>212-125-OR0.5</t>
        </is>
      </c>
      <c r="F13" s="2" t="n">
        <v>-2</v>
      </c>
      <c r="G13" s="2" t="inlineStr">
        <is>
          <t>BD026</t>
        </is>
      </c>
      <c r="H13" s="1">
        <f ref="H13" t="array">IF(C13&lt;&gt;C14,SUM(1/COUNTIFS(INDEX($E$1:$E13,LARGE(IF($C$1:$C12&lt;&gt;$C$2:$C13,ROW($C$2:$C13),""),1)):E13,INDEX($E$1:$E13,LARGE(IF($C$1:$C12&lt;&gt;$C$2:$C13,ROW($C$2:$C13),""),1)):E13)),"")</f>
        <v/>
      </c>
      <c r="I13" t="inlineStr">
        <is>
          <t>N/A</t>
        </is>
      </c>
    </row>
    <row customFormat="1" r="14" s="2">
      <c r="A14" s="5" t="n">
        <v>44950</v>
      </c>
      <c r="B14" s="6" t="n">
        <v>0.4886226851851852</v>
      </c>
      <c r="C14" s="2" t="inlineStr">
        <is>
          <t>Take</t>
        </is>
      </c>
      <c r="D14" s="2" t="inlineStr">
        <is>
          <t>PWPT3366161</t>
        </is>
      </c>
      <c r="E14" s="2" t="inlineStr">
        <is>
          <t>212-125-OR1</t>
        </is>
      </c>
      <c r="F14" s="2" t="n">
        <v>-3</v>
      </c>
      <c r="G14" s="2" t="inlineStr">
        <is>
          <t>BD026</t>
        </is>
      </c>
      <c r="H14" s="1">
        <f ref="H14" t="array">IF(C14&lt;&gt;C15,SUM(1/COUNTIFS(INDEX($E$1:$E14,LARGE(IF($C$1:$C13&lt;&gt;$C$2:$C14,ROW($C$2:$C14),""),1)):E14,INDEX($E$1:$E14,LARGE(IF($C$1:$C13&lt;&gt;$C$2:$C14,ROW($C$2:$C14),""),1)):E14)),"")</f>
        <v/>
      </c>
      <c r="I14" t="inlineStr"/>
    </row>
    <row customFormat="1" r="15" s="2">
      <c r="A15" s="5" t="n">
        <v>44950</v>
      </c>
      <c r="B15" s="6" t="n">
        <v>0.4894444444444445</v>
      </c>
      <c r="C15" s="2" t="inlineStr">
        <is>
          <t>Take</t>
        </is>
      </c>
      <c r="D15" s="2" t="inlineStr">
        <is>
          <t>PWPT3366167</t>
        </is>
      </c>
      <c r="E15" s="2" t="inlineStr">
        <is>
          <t>212-125-GN1.5</t>
        </is>
      </c>
      <c r="F15" s="2" t="n">
        <v>-40</v>
      </c>
      <c r="G15" s="2" t="inlineStr">
        <is>
          <t>BD026</t>
        </is>
      </c>
      <c r="H15" s="1">
        <f ref="H15" t="array">IF(C15&lt;&gt;C16,SUM(1/COUNTIFS(INDEX($E$1:$E15,LARGE(IF($C$1:$C14&lt;&gt;$C$2:$C15,ROW($C$2:$C15),""),1)):E15,INDEX($E$1:$E15,LARGE(IF($C$1:$C14&lt;&gt;$C$2:$C15,ROW($C$2:$C15),""),1)):E15)),"")</f>
        <v/>
      </c>
      <c r="I15" t="inlineStr">
        <is>
          <t>N/A</t>
        </is>
      </c>
    </row>
    <row customFormat="1" r="16" s="2">
      <c r="A16" s="5" t="n">
        <v>44950</v>
      </c>
      <c r="B16" s="6" t="n">
        <v>0.4898148148148148</v>
      </c>
      <c r="C16" s="2" t="inlineStr">
        <is>
          <t>Take</t>
        </is>
      </c>
      <c r="D16" s="2" t="inlineStr">
        <is>
          <t>PWPT3366168</t>
        </is>
      </c>
      <c r="E16" s="2" t="inlineStr">
        <is>
          <t>TIE-V1625B</t>
        </is>
      </c>
      <c r="F16" s="2" t="n">
        <v>-2</v>
      </c>
      <c r="G16" s="2" t="inlineStr">
        <is>
          <t>BD026</t>
        </is>
      </c>
      <c r="H16" s="1">
        <f ref="H16" t="array">IF(C16&lt;&gt;C17,SUM(1/COUNTIFS(INDEX($E$1:$E16,LARGE(IF($C$1:$C15&lt;&gt;$C$2:$C16,ROW($C$2:$C16),""),1)):E16,INDEX($E$1:$E16,LARGE(IF($C$1:$C15&lt;&gt;$C$2:$C16,ROW($C$2:$C16),""),1)):E16)),"")</f>
        <v/>
      </c>
      <c r="I16" t="inlineStr">
        <is>
          <t>-</t>
        </is>
      </c>
    </row>
    <row customFormat="1" r="17" s="2">
      <c r="A17" s="5" t="n">
        <v>44950</v>
      </c>
      <c r="B17" s="6" t="n">
        <v>0.4901851851851852</v>
      </c>
      <c r="C17" s="2" t="inlineStr">
        <is>
          <t>Take</t>
        </is>
      </c>
      <c r="D17" s="2" t="inlineStr">
        <is>
          <t>PWPT3366171</t>
        </is>
      </c>
      <c r="E17" s="2" t="inlineStr">
        <is>
          <t>212-125-WT1.5</t>
        </is>
      </c>
      <c r="F17" s="2" t="n">
        <v>-5</v>
      </c>
      <c r="G17" s="2" t="inlineStr">
        <is>
          <t>BD026</t>
        </is>
      </c>
      <c r="H17" s="1">
        <f ref="H17" t="array">IF(C17&lt;&gt;C18,SUM(1/COUNTIFS(INDEX($E$1:$E17,LARGE(IF($C$1:$C16&lt;&gt;$C$2:$C17,ROW($C$2:$C17),""),1)):E17,INDEX($E$1:$E17,LARGE(IF($C$1:$C16&lt;&gt;$C$2:$C17,ROW($C$2:$C17),""),1)):E17)),"")</f>
        <v/>
      </c>
      <c r="I17" t="inlineStr">
        <is>
          <t>-</t>
        </is>
      </c>
    </row>
    <row customFormat="1" r="18" s="2">
      <c r="A18" s="5" t="n">
        <v>44950</v>
      </c>
      <c r="B18" s="6" t="n">
        <v>0.4905555555555556</v>
      </c>
      <c r="C18" s="2" t="inlineStr">
        <is>
          <t>Take</t>
        </is>
      </c>
      <c r="D18" s="2" t="inlineStr">
        <is>
          <t>PWPT3366173</t>
        </is>
      </c>
      <c r="E18" s="2" t="inlineStr">
        <is>
          <t>212-125-GY3</t>
        </is>
      </c>
      <c r="F18" s="2" t="n">
        <v>-8</v>
      </c>
      <c r="G18" s="2" t="inlineStr">
        <is>
          <t>BD026</t>
        </is>
      </c>
      <c r="H18" s="1">
        <f ref="H18" t="array">IF(C18&lt;&gt;C19,SUM(1/COUNTIFS(INDEX($E$1:$E18,LARGE(IF($C$1:$C17&lt;&gt;$C$2:$C18,ROW($C$2:$C18),""),1)):E18,INDEX($E$1:$E18,LARGE(IF($C$1:$C17&lt;&gt;$C$2:$C18,ROW($C$2:$C18),""),1)):E18)),"")</f>
        <v/>
      </c>
    </row>
    <row customFormat="1" r="19" s="2">
      <c r="A19" s="5" t="n">
        <v>44950</v>
      </c>
      <c r="B19" s="6" t="n">
        <v>0.4911921296296296</v>
      </c>
      <c r="C19" s="2" t="inlineStr">
        <is>
          <t>Take</t>
        </is>
      </c>
      <c r="D19" s="2" t="inlineStr">
        <is>
          <t>PWPT3366176</t>
        </is>
      </c>
      <c r="E19" s="2" t="inlineStr">
        <is>
          <t>212-125-BL3</t>
        </is>
      </c>
      <c r="F19" s="2" t="n">
        <v>-5</v>
      </c>
      <c r="G19" s="2" t="inlineStr">
        <is>
          <t>BD026</t>
        </is>
      </c>
      <c r="H19" s="1">
        <f ref="H19" t="array">IF(C19&lt;&gt;C20,SUM(1/COUNTIFS(INDEX($E$1:$E19,LARGE(IF($C$1:$C18&lt;&gt;$C$2:$C19,ROW($C$2:$C19),""),1)):E19,INDEX($E$1:$E19,LARGE(IF($C$1:$C18&lt;&gt;$C$2:$C19,ROW($C$2:$C19),""),1)):E19)),"")</f>
        <v/>
      </c>
    </row>
    <row customFormat="1" r="20" s="2">
      <c r="A20" s="5" t="n">
        <v>44950</v>
      </c>
      <c r="B20" s="6" t="n">
        <v>0.4916898148148148</v>
      </c>
      <c r="C20" s="2" t="inlineStr">
        <is>
          <t>Take</t>
        </is>
      </c>
      <c r="D20" s="2" t="inlineStr">
        <is>
          <t>PWPT3366179</t>
        </is>
      </c>
      <c r="E20" s="2" t="inlineStr">
        <is>
          <t>212-125-VT3</t>
        </is>
      </c>
      <c r="F20" s="2" t="n">
        <v>-10</v>
      </c>
      <c r="G20" s="2" t="inlineStr">
        <is>
          <t>BD026</t>
        </is>
      </c>
      <c r="H20" s="1" t="n">
        <v>9</v>
      </c>
      <c r="I20" t="inlineStr"/>
    </row>
    <row customFormat="1" r="21" s="1">
      <c r="A21" s="3" t="n">
        <v>44950</v>
      </c>
      <c r="B21" s="4" t="n">
        <v>0.5857060185185186</v>
      </c>
      <c r="C21" s="1" t="inlineStr">
        <is>
          <t>Place</t>
        </is>
      </c>
      <c r="D21" s="1" t="inlineStr">
        <is>
          <t>PWPT3366579</t>
        </is>
      </c>
      <c r="E21" s="1" t="inlineStr">
        <is>
          <t>00878M</t>
        </is>
      </c>
      <c r="F21" s="1" t="n">
        <v>2</v>
      </c>
      <c r="G21" s="1" t="inlineStr">
        <is>
          <t>BD026</t>
        </is>
      </c>
      <c r="H21" s="1">
        <f ref="H21" t="array">IF(C21&lt;&gt;C22,SUM(1/COUNTIFS(INDEX($E$1:$E21,LARGE(IF($C$1:$C20&lt;&gt;$C$2:$C21,ROW($C$2:$C21),""),1)):E21,INDEX($E$1:$E21,LARGE(IF($C$1:$C20&lt;&gt;$C$2:$C21,ROW($C$2:$C21),""),1)):E21)),"")</f>
        <v/>
      </c>
      <c r="I21" t="inlineStr">
        <is>
          <t>-</t>
        </is>
      </c>
    </row>
    <row customFormat="1" r="22" s="1">
      <c r="A22" s="3" t="n">
        <v>44950</v>
      </c>
      <c r="B22" s="4" t="n">
        <v>0.6078819444444444</v>
      </c>
      <c r="C22" s="1" t="inlineStr">
        <is>
          <t>Place</t>
        </is>
      </c>
      <c r="D22" s="1" t="inlineStr">
        <is>
          <t>PWPT3366681</t>
        </is>
      </c>
      <c r="E22" s="1" t="inlineStr">
        <is>
          <t>OM8G43200SO1RX8NE12</t>
        </is>
      </c>
      <c r="F22" s="1" t="n">
        <v>5</v>
      </c>
      <c r="G22" s="1" t="inlineStr">
        <is>
          <t>BD026</t>
        </is>
      </c>
      <c r="H22" s="1">
        <f ref="H22" t="array">IF(C22&lt;&gt;C23,SUM(1/COUNTIFS(INDEX($E$1:$E22,LARGE(IF($C$1:$C21&lt;&gt;$C$2:$C22,ROW($C$2:$C22),""),1)):E22,INDEX($E$1:$E22,LARGE(IF($C$1:$C21&lt;&gt;$C$2:$C22,ROW($C$2:$C22),""),1)):E22)),"")</f>
        <v/>
      </c>
    </row>
    <row customFormat="1" r="23" s="1">
      <c r="A23" s="3" t="n">
        <v>44950</v>
      </c>
      <c r="B23" s="4" t="n">
        <v>0.6181828703703703</v>
      </c>
      <c r="C23" s="1" t="inlineStr">
        <is>
          <t>Place</t>
        </is>
      </c>
      <c r="D23" s="1" t="inlineStr">
        <is>
          <t>PWPT3366738</t>
        </is>
      </c>
      <c r="E23" s="1" t="inlineStr">
        <is>
          <t>JYJNW</t>
        </is>
      </c>
      <c r="F23" s="1" t="n">
        <v>9</v>
      </c>
      <c r="G23" s="1" t="inlineStr">
        <is>
          <t>BD026</t>
        </is>
      </c>
      <c r="H23" s="1">
        <f ref="H23" t="array">IF(C23&lt;&gt;C24,SUM(1/COUNTIFS(INDEX($E$1:$E23,LARGE(IF($C$1:$C22&lt;&gt;$C$2:$C23,ROW($C$2:$C23),""),1)):E23,INDEX($E$1:$E23,LARGE(IF($C$1:$C22&lt;&gt;$C$2:$C23,ROW($C$2:$C23),""),1)):E23)),"")</f>
        <v/>
      </c>
      <c r="I23" t="inlineStr">
        <is>
          <t>N/A</t>
        </is>
      </c>
    </row>
    <row customFormat="1" r="24" s="1">
      <c r="A24" s="3" t="n">
        <v>44950</v>
      </c>
      <c r="B24" s="4" t="n">
        <v>0.6190162037037037</v>
      </c>
      <c r="C24" s="1" t="inlineStr">
        <is>
          <t>Place</t>
        </is>
      </c>
      <c r="D24" s="1" t="inlineStr">
        <is>
          <t>PWPT3366740</t>
        </is>
      </c>
      <c r="E24" s="1" t="inlineStr">
        <is>
          <t>KG52T</t>
        </is>
      </c>
      <c r="F24" s="1" t="n">
        <v>5</v>
      </c>
      <c r="G24" s="1" t="inlineStr">
        <is>
          <t>BD026</t>
        </is>
      </c>
      <c r="H24" s="1" t="n">
        <v>4</v>
      </c>
      <c r="I24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 Roberts</dc:creator>
  <dcterms:created xsi:type="dcterms:W3CDTF">2023-01-25T11:01:00Z</dcterms:created>
  <dcterms:modified xsi:type="dcterms:W3CDTF">2026-05-02T01:16:36Z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E097759370D942FB80854DC0D237EA24_13</vt:lpwstr>
  </property>
  <property fmtid="{D5CDD505-2E9C-101B-9397-08002B2CF9AE}" name="KSOProductBuildVer" pid="3">
    <vt:lpwstr>2052-12.1.0.16729</vt:lpwstr>
  </property>
</Properties>
</file>