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AR_Track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_ [$₹-4009]\ * #,##0_ ;_ [$₹-4009]\ * \-#,##0_ ;_ [$₹-4009]\ * &quot;-&quot;_ ;_ @_ " numFmtId="164"/>
    <numFmt formatCode="_-&quot;$&quot;* #,##0.00_-;\-&quot;$&quot;* #,##0.00_-;_-&quot;$&quot;* &quot;-&quot;??_-;_-@_-" numFmtId="165"/>
  </numFmts>
  <fonts count="25">
    <font>
      <name val="等线"/>
      <charset val="134"/>
      <color theme="1"/>
      <sz val="11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rgb="FFFF0000"/>
      <sz val="14"/>
      <scheme val="minor"/>
    </font>
    <font>
      <name val="等线"/>
      <charset val="134"/>
      <b val="1"/>
      <color rgb="FFFF0000"/>
      <sz val="22"/>
      <scheme val="minor"/>
    </font>
    <font>
      <name val="等线"/>
      <charset val="134"/>
      <sz val="11"/>
      <scheme val="minor"/>
    </font>
    <font>
      <name val="等线"/>
      <charset val="134"/>
      <b val="1"/>
      <color theme="0"/>
      <sz val="22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borderId="0" fillId="0" fontId="0" numFmtId="165"/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1" fillId="3" fontId="0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0" fillId="0" fontId="10" numFmtId="0">
      <alignment vertical="center"/>
    </xf>
    <xf applyAlignment="1" borderId="2" fillId="0" fontId="11" numFmtId="0">
      <alignment vertical="center"/>
    </xf>
    <xf applyAlignment="1" borderId="2" fillId="0" fontId="12" numFmtId="0">
      <alignment vertical="center"/>
    </xf>
    <xf applyAlignment="1" borderId="3" fillId="0" fontId="13" numFmtId="0">
      <alignment vertical="center"/>
    </xf>
    <xf applyAlignment="1" borderId="0" fillId="0" fontId="13" numFmtId="0">
      <alignment vertical="center"/>
    </xf>
    <xf applyAlignment="1" borderId="4" fillId="4" fontId="14" numFmtId="0">
      <alignment vertical="center"/>
    </xf>
    <xf applyAlignment="1" borderId="5" fillId="5" fontId="15" numFmtId="0">
      <alignment vertical="center"/>
    </xf>
    <xf applyAlignment="1" borderId="4" fillId="5" fontId="16" numFmtId="0">
      <alignment vertical="center"/>
    </xf>
    <xf applyAlignment="1" borderId="6" fillId="6" fontId="17" numFmtId="0">
      <alignment vertical="center"/>
    </xf>
    <xf applyAlignment="1" borderId="7" fillId="0" fontId="18" numFmtId="0">
      <alignment vertical="center"/>
    </xf>
    <xf applyAlignment="1" borderId="8" fillId="0" fontId="19" numFmtId="0">
      <alignment vertical="center"/>
    </xf>
    <xf applyAlignment="1" borderId="0" fillId="7" fontId="20" numFmtId="0">
      <alignment vertical="center"/>
    </xf>
    <xf applyAlignment="1" borderId="0" fillId="8" fontId="21" numFmtId="0">
      <alignment vertical="center"/>
    </xf>
    <xf applyAlignment="1" borderId="0" fillId="9" fontId="22" numFmtId="0">
      <alignment vertical="center"/>
    </xf>
    <xf applyAlignment="1" borderId="0" fillId="10" fontId="23" numFmtId="0">
      <alignment vertical="center"/>
    </xf>
    <xf applyAlignment="1" borderId="0" fillId="11" fontId="24" numFmtId="0">
      <alignment vertical="center"/>
    </xf>
    <xf applyAlignment="1" borderId="0" fillId="12" fontId="24" numFmtId="0">
      <alignment vertical="center"/>
    </xf>
    <xf applyAlignment="1" borderId="0" fillId="13" fontId="23" numFmtId="0">
      <alignment vertical="center"/>
    </xf>
    <xf applyAlignment="1" borderId="0" fillId="14" fontId="23" numFmtId="0">
      <alignment vertical="center"/>
    </xf>
    <xf applyAlignment="1" borderId="0" fillId="15" fontId="24" numFmtId="0">
      <alignment vertical="center"/>
    </xf>
    <xf applyAlignment="1" borderId="0" fillId="16" fontId="24" numFmtId="0">
      <alignment vertical="center"/>
    </xf>
    <xf applyAlignment="1" borderId="0" fillId="17" fontId="23" numFmtId="0">
      <alignment vertical="center"/>
    </xf>
    <xf applyAlignment="1" borderId="0" fillId="18" fontId="23" numFmtId="0">
      <alignment vertical="center"/>
    </xf>
    <xf applyAlignment="1" borderId="0" fillId="19" fontId="24" numFmtId="0">
      <alignment vertical="center"/>
    </xf>
    <xf applyAlignment="1" borderId="0" fillId="20" fontId="24" numFmtId="0">
      <alignment vertical="center"/>
    </xf>
    <xf applyAlignment="1" borderId="0" fillId="21" fontId="23" numFmtId="0">
      <alignment vertical="center"/>
    </xf>
    <xf applyAlignment="1" borderId="0" fillId="22" fontId="23" numFmtId="0">
      <alignment vertical="center"/>
    </xf>
    <xf applyAlignment="1" borderId="0" fillId="23" fontId="24" numFmtId="0">
      <alignment vertical="center"/>
    </xf>
    <xf applyAlignment="1" borderId="0" fillId="24" fontId="24" numFmtId="0">
      <alignment vertical="center"/>
    </xf>
    <xf applyAlignment="1" borderId="0" fillId="25" fontId="23" numFmtId="0">
      <alignment vertical="center"/>
    </xf>
    <xf applyAlignment="1" borderId="0" fillId="26" fontId="23" numFmtId="0">
      <alignment vertical="center"/>
    </xf>
    <xf applyAlignment="1" borderId="0" fillId="27" fontId="24" numFmtId="0">
      <alignment vertical="center"/>
    </xf>
    <xf applyAlignment="1" borderId="0" fillId="28" fontId="24" numFmtId="0">
      <alignment vertical="center"/>
    </xf>
    <xf applyAlignment="1" borderId="0" fillId="29" fontId="23" numFmtId="0">
      <alignment vertical="center"/>
    </xf>
    <xf applyAlignment="1" borderId="0" fillId="30" fontId="23" numFmtId="0">
      <alignment vertical="center"/>
    </xf>
    <xf applyAlignment="1" borderId="0" fillId="31" fontId="24" numFmtId="0">
      <alignment vertical="center"/>
    </xf>
    <xf applyAlignment="1" borderId="0" fillId="32" fontId="24" numFmtId="0">
      <alignment vertical="center"/>
    </xf>
    <xf applyAlignment="1" borderId="0" fillId="33" fontId="23" numFmtId="0">
      <alignment vertical="center"/>
    </xf>
  </cellStyleXfs>
  <cellXfs count="20">
    <xf borderId="0" fillId="0" fontId="0" numFmtId="0" pivotButton="0" quotePrefix="0" xfId="0"/>
    <xf borderId="0" fillId="2" fontId="0" numFmtId="0" pivotButton="0" quotePrefix="0" xfId="0"/>
    <xf borderId="0" fillId="2" fontId="1" numFmtId="0" pivotButton="0" quotePrefix="0" xfId="0"/>
    <xf borderId="0" fillId="2" fontId="2" numFmtId="0" pivotButton="0" quotePrefix="0" xfId="0"/>
    <xf applyAlignment="1" borderId="0" fillId="2" fontId="3" numFmtId="0" pivotButton="0" quotePrefix="0" xfId="0">
      <alignment horizontal="left" vertical="top"/>
    </xf>
    <xf applyAlignment="1" borderId="0" fillId="2" fontId="4" numFmtId="0" pivotButton="0" quotePrefix="0" xfId="0">
      <alignment vertical="top" wrapText="1"/>
    </xf>
    <xf applyAlignment="1" borderId="0" fillId="2" fontId="4" numFmtId="0" pivotButton="0" quotePrefix="0" xfId="0">
      <alignment horizontal="center" vertical="top" wrapText="1"/>
    </xf>
    <xf applyAlignment="1" borderId="0" fillId="2" fontId="4" numFmtId="0" pivotButton="0" quotePrefix="0" xfId="0">
      <alignment vertical="top"/>
    </xf>
    <xf borderId="0" fillId="0" fontId="4" numFmtId="0" pivotButton="0" quotePrefix="0" xfId="0"/>
    <xf applyAlignment="1" borderId="0" fillId="0" fontId="4" numFmtId="14" pivotButton="0" quotePrefix="0" xfId="0">
      <alignment horizontal="center" vertical="center"/>
    </xf>
    <xf applyAlignment="1" borderId="0" fillId="0" fontId="4" numFmtId="4" pivotButton="0" quotePrefix="0" xfId="2">
      <alignment horizontal="right" vertical="center"/>
    </xf>
    <xf applyAlignment="1" borderId="0" fillId="0" fontId="4" numFmtId="0" pivotButton="0" quotePrefix="0" xfId="0">
      <alignment horizontal="center" vertical="center"/>
    </xf>
    <xf applyAlignment="1" borderId="0" fillId="0" fontId="4" numFmtId="4" pivotButton="0" quotePrefix="0" xfId="0">
      <alignment horizontal="right" vertical="center"/>
    </xf>
    <xf applyAlignment="1" borderId="0" fillId="0" fontId="4" numFmtId="40" pivotButton="0" quotePrefix="0" xfId="0">
      <alignment horizontal="center" vertical="center"/>
    </xf>
    <xf applyAlignment="1" borderId="0" fillId="2" fontId="0" numFmtId="4" pivotButton="0" quotePrefix="0" xfId="0">
      <alignment horizontal="right"/>
    </xf>
    <xf borderId="0" fillId="2" fontId="0" numFmtId="40" pivotButton="0" quotePrefix="0" xfId="0"/>
    <xf borderId="0" fillId="2" fontId="3" numFmtId="0" pivotButton="0" quotePrefix="0" xfId="0"/>
    <xf applyAlignment="1" borderId="0" fillId="2" fontId="5" numFmtId="164" pivotButton="0" quotePrefix="0" xfId="2">
      <alignment vertical="top"/>
    </xf>
    <xf applyAlignment="1" borderId="0" fillId="0" fontId="4" numFmtId="1" pivotButton="0" quotePrefix="0" xfId="0">
      <alignment horizontal="center" vertical="center"/>
    </xf>
    <xf applyAlignment="1" borderId="0" fillId="2" fontId="5" numFmtId="164" pivotButton="0" quotePrefix="0" xfId="2">
      <alignment vertical="top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10">
    <dxf>
      <font>
        <name val="Calibri"/>
        <family val="2"/>
        <strike val="0"/>
        <color auto="1"/>
        <sz val="11"/>
      </font>
    </dxf>
    <dxf>
      <font>
        <name val="Calibri"/>
        <family val="2"/>
        <strike val="0"/>
        <color auto="1"/>
        <sz val="11"/>
      </font>
      <numFmt formatCode="d/mm/yyyy" numFmtId="178"/>
      <alignment horizontal="center" vertical="center"/>
    </dxf>
    <dxf>
      <font>
        <name val="Calibri"/>
        <family val="2"/>
        <strike val="0"/>
        <color auto="1"/>
        <sz val="11"/>
      </font>
      <numFmt formatCode="#,##0.00" numFmtId="4"/>
      <alignment horizontal="right" vertical="center"/>
    </dxf>
    <dxf>
      <font>
        <name val="Calibri"/>
        <family val="2"/>
        <strike val="0"/>
        <color auto="1"/>
        <sz val="11"/>
      </font>
      <alignment horizontal="center" vertical="center"/>
    </dxf>
    <dxf>
      <font>
        <name val="Calibri"/>
        <family val="2"/>
        <strike val="0"/>
        <color auto="1"/>
        <sz val="11"/>
      </font>
      <numFmt formatCode="#,##0.00" numFmtId="4"/>
      <alignment horizontal="right" vertical="center"/>
    </dxf>
    <dxf>
      <font>
        <name val="Calibri"/>
        <family val="2"/>
        <strike val="0"/>
        <color auto="1"/>
        <sz val="11"/>
      </font>
      <numFmt formatCode="d/mm/yyyy" numFmtId="179"/>
      <alignment horizontal="center" vertical="center"/>
    </dxf>
    <dxf>
      <font>
        <name val="Calibri"/>
        <family val="2"/>
        <strike val="0"/>
        <color auto="1"/>
        <sz val="11"/>
      </font>
      <numFmt formatCode="d/mm/yyyy" numFmtId="180"/>
      <alignment horizontal="center" vertical="center"/>
    </dxf>
    <dxf>
      <font>
        <name val="Calibri"/>
        <family val="2"/>
        <strike val="0"/>
        <color auto="1"/>
        <sz val="11"/>
      </font>
      <numFmt formatCode="#,##0.00;[Red]\-#,##0.00" numFmtId="40"/>
      <alignment horizontal="center" vertical="center"/>
    </dxf>
    <dxf>
      <font>
        <name val="Calibri"/>
        <family val="2"/>
        <strike val="0"/>
        <color auto="1"/>
        <sz val="11"/>
      </font>
      <numFmt formatCode="0" numFmtId="1"/>
      <alignment horizontal="center" vertical="center"/>
    </dxf>
    <dxf>
      <font>
        <name val="Calibri"/>
        <family val="2"/>
        <strike val="0"/>
        <color auto="1"/>
        <sz val="11"/>
      </font>
      <numFmt formatCode="General" numFmtId="0"/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able2" headerRowCount="1" id="1" name="Table2" ref="A5:J10" totalsRowShown="0">
  <autoFilter ref="A5:J10"/>
  <tableColumns count="10">
    <tableColumn dataDxfId="0" id="1" name="Customer Name"/>
    <tableColumn dataDxfId="1" id="2" name="Invoice Date"/>
    <tableColumn dataDxfId="2" id="3" name="Invoice Amount"/>
    <tableColumn dataDxfId="3" id="4" name="Payment Terms"/>
    <tableColumn dataDxfId="4" id="5" name="Amount Received"/>
    <tableColumn dataDxfId="5" id="6" name="Date Recived"/>
    <tableColumn dataDxfId="6" id="7" name="Due Date">
      <calculatedColumnFormula>IF(Table2[[#This Row],[Invoice Date]]="","",Table2[[#This Row],[Invoice Date]]+Table2[[#This Row],[Payment Terms]])</calculatedColumnFormula>
    </tableColumn>
    <tableColumn dataDxfId="7" id="8" name="Amount Outstanding">
      <calculatedColumnFormula>Table2[[#This Row],[Invoice Amount]]-Table2[[#This Row],[Amount Received]]</calculatedColumnFormula>
    </tableColumn>
    <tableColumn dataDxfId="8" id="9" name="Over Due Days">
      <calculatedColumnFormula>IF(Table2[[#This Row],[Amount Outstanding]]=0,"",TODAY()-Table2[[#This Row],[Due Date]])</calculatedColumnFormula>
    </tableColumn>
    <tableColumn dataDxfId="9" id="10" name="Remarks">
      <calculatedColumnFormula>IF(Table2[[#This Row],[Over Due Days]]="","",IF(Table2[[#This Row],[Over Due Days]]&lt;90,"Call Customer","Bad Debts"))</calculatedColumnFormula>
    </tableColumn>
  </tableColumns>
  <tableStyleInfo name="TableStyleLight1" showColumnStripes="0" showFirstColumn="0" showLastColumn="0" showRowStripes="1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4"/>
  <sheetViews>
    <sheetView tabSelected="1" workbookViewId="0" zoomScale="160" zoomScaleNormal="160">
      <selection activeCell="E14" sqref="E14"/>
    </sheetView>
  </sheetViews>
  <sheetFormatPr baseColWidth="8" defaultColWidth="9.16666666666667" defaultRowHeight="14"/>
  <cols>
    <col customWidth="1" max="1" min="1" style="1" width="17.5"/>
    <col customWidth="1" max="2" min="2" style="1" width="14.1666666666667"/>
    <col customWidth="1" max="3" min="3" style="1" width="17.1666666666667"/>
    <col customWidth="1" max="4" min="4" style="1" width="16.8333333333333"/>
    <col customWidth="1" max="5" min="5" style="1" width="18.8333333333333"/>
    <col customWidth="1" max="6" min="6" style="1" width="14.6666666666667"/>
    <col customWidth="1" max="7" min="7" style="1" width="11.3333333333333"/>
    <col customWidth="1" max="8" min="8" style="1" width="21.5"/>
    <col customWidth="1" max="9" min="9" style="1" width="20"/>
    <col customWidth="1" max="10" min="10" style="1" width="18.6666666666667"/>
    <col customWidth="1" max="16384" min="11" style="1" width="9.16666666666667"/>
  </cols>
  <sheetData>
    <row customHeight="1" ht="17.5" r="1">
      <c r="A1" t="inlineStr">
        <is>
          <t>Accounts Receivable Tracking Report</t>
        </is>
      </c>
      <c r="K1" t="inlineStr">
        <is>
          <t>Outstanding Balance</t>
        </is>
      </c>
    </row>
    <row customHeight="1" ht="17.5" r="2">
      <c r="A2" s="2" t="n"/>
      <c r="K2" t="inlineStr">
        <is>
          <t>-</t>
        </is>
      </c>
    </row>
    <row r="3">
      <c r="A3" s="3" t="n"/>
      <c r="K3" t="inlineStr">
        <is>
          <t>N/A</t>
        </is>
      </c>
    </row>
    <row customHeight="1" ht="27.5" r="4"/>
    <row customHeight="1" ht="15"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19" t="n"/>
      <c r="K5" t="inlineStr">
        <is>
          <t>-</t>
        </is>
      </c>
    </row>
    <row r="6">
      <c r="A6" s="5" t="inlineStr">
        <is>
          <t>Client Name</t>
        </is>
      </c>
      <c r="B6" s="5" t="inlineStr">
        <is>
          <t>Billing Date</t>
        </is>
      </c>
      <c r="C6" s="5" t="inlineStr">
        <is>
          <t>Billed Amount</t>
        </is>
      </c>
      <c r="D6" s="6" t="inlineStr">
        <is>
          <t>Payment Conditions</t>
        </is>
      </c>
      <c r="E6" s="5" t="inlineStr">
        <is>
          <t>Amount Received</t>
        </is>
      </c>
      <c r="F6" s="6" t="inlineStr">
        <is>
          <t>Date Received</t>
        </is>
      </c>
      <c r="G6" s="7" t="inlineStr">
        <is>
          <t>Payment Due Date</t>
        </is>
      </c>
      <c r="H6" s="6" t="inlineStr">
        <is>
          <t>Amount Outstanding</t>
        </is>
      </c>
      <c r="I6" s="6" t="inlineStr">
        <is>
          <t>Over Due Days</t>
        </is>
      </c>
      <c r="J6" s="6" t="inlineStr">
        <is>
          <t>Remarks</t>
        </is>
      </c>
      <c r="K6" t="inlineStr">
        <is>
          <t>N/A</t>
        </is>
      </c>
    </row>
    <row r="7">
      <c r="A7" s="8" t="inlineStr">
        <is>
          <t>ARON</t>
        </is>
      </c>
      <c r="B7" s="9" t="n">
        <v>44257</v>
      </c>
      <c r="C7" s="10" t="n">
        <v>40000</v>
      </c>
      <c r="D7" s="11" t="n">
        <v>14</v>
      </c>
      <c r="E7" s="12" t="n">
        <v>15000</v>
      </c>
      <c r="F7" s="9" t="n">
        <v>44280</v>
      </c>
      <c r="G7" s="9">
        <f>IF(Table2[[#This Row],[Invoice Date]]="","",Table2[[#This Row],[Invoice Date]]+Table2[[#This Row],[Payment Terms]])</f>
        <v/>
      </c>
      <c r="H7" s="13">
        <f>Table2[[#This Row],[Invoice Amount]]-Table2[[#This Row],[Amount Received]]</f>
        <v/>
      </c>
      <c r="I7" s="18">
        <f>IF(Table2[[#This Row],[Amount Outstanding]]=0,"",TODAY()-Table2[[#This Row],[Due Date]])</f>
        <v/>
      </c>
      <c r="J7" s="8">
        <f>IF(Table2[[#This Row],[Over Due Days]]="","",IF(Table2[[#This Row],[Over Due Days]]&lt;90,"Call Customer","Bad Debts"))</f>
        <v/>
      </c>
      <c r="K7" t="inlineStr">
        <is>
          <t>-</t>
        </is>
      </c>
    </row>
    <row r="8">
      <c r="A8" s="8" t="inlineStr">
        <is>
          <t>Alex</t>
        </is>
      </c>
      <c r="B8" s="9" t="n">
        <v>44285</v>
      </c>
      <c r="C8" s="10" t="n">
        <v>42000</v>
      </c>
      <c r="D8" s="11" t="n">
        <v>14</v>
      </c>
      <c r="E8" s="12" t="n">
        <v>20000</v>
      </c>
      <c r="F8" s="9" t="n">
        <v>44281</v>
      </c>
      <c r="G8" s="9">
        <f>IF(Table2[[#This Row],[Invoice Date]]="","",Table2[[#This Row],[Invoice Date]]+Table2[[#This Row],[Payment Terms]])</f>
        <v/>
      </c>
      <c r="H8" s="13">
        <f>Table2[[#This Row],[Invoice Amount]]-Table2[[#This Row],[Amount Received]]</f>
        <v/>
      </c>
      <c r="I8" s="18">
        <f>IF(Table2[[#This Row],[Amount Outstanding]]=0,"",TODAY()-Table2[[#This Row],[Due Date]])</f>
        <v/>
      </c>
      <c r="J8" s="8">
        <f>IF(Table2[[#This Row],[Over Due Days]]="","",IF(Table2[[#This Row],[Over Due Days]]&lt;90,"Call Customer","Bad Debts"))</f>
        <v/>
      </c>
      <c r="K8" t="inlineStr"/>
    </row>
    <row r="9">
      <c r="A9" s="8" t="inlineStr">
        <is>
          <t>Ben</t>
        </is>
      </c>
      <c r="B9" s="9" t="n">
        <v>44290</v>
      </c>
      <c r="C9" s="10" t="n">
        <v>44000</v>
      </c>
      <c r="D9" s="11" t="n">
        <v>14</v>
      </c>
      <c r="E9" s="12" t="n">
        <v>47000</v>
      </c>
      <c r="F9" s="9" t="n">
        <v>44313</v>
      </c>
      <c r="G9" s="9">
        <f>IF(Table2[[#This Row],[Invoice Date]]="","",Table2[[#This Row],[Invoice Date]]+Table2[[#This Row],[Payment Terms]])</f>
        <v/>
      </c>
      <c r="H9" s="13">
        <f>Table2[[#This Row],[Invoice Amount]]-Table2[[#This Row],[Amount Received]]</f>
        <v/>
      </c>
      <c r="I9" s="18">
        <f>IF(Table2[[#This Row],[Amount Outstanding]]=0,"",TODAY()-Table2[[#This Row],[Due Date]])</f>
        <v/>
      </c>
      <c r="J9" s="8">
        <f>IF(Table2[[#This Row],[Over Due Days]]="","",IF(Table2[[#This Row],[Over Due Days]]&lt;90,"Call Customer","Bad Debts"))</f>
        <v/>
      </c>
      <c r="K9" t="inlineStr">
        <is>
          <t>-</t>
        </is>
      </c>
    </row>
    <row r="10">
      <c r="A10" s="8" t="inlineStr">
        <is>
          <t>Jack</t>
        </is>
      </c>
      <c r="B10" s="9" t="n">
        <v>44306</v>
      </c>
      <c r="C10" s="10" t="n">
        <v>46000</v>
      </c>
      <c r="D10" s="11" t="n">
        <v>14</v>
      </c>
      <c r="E10" s="12" t="n">
        <v>30000</v>
      </c>
      <c r="F10" s="9" t="n">
        <v>44314</v>
      </c>
      <c r="G10" s="9">
        <f>IF(Table2[[#This Row],[Invoice Date]]="","",Table2[[#This Row],[Invoice Date]]+Table2[[#This Row],[Payment Terms]])</f>
        <v/>
      </c>
      <c r="H10" s="13">
        <f>Table2[[#This Row],[Invoice Amount]]-Table2[[#This Row],[Amount Received]]</f>
        <v/>
      </c>
      <c r="I10" s="18">
        <f>IF(Table2[[#This Row],[Amount Outstanding]]=0,"",TODAY()-Table2[[#This Row],[Due Date]])</f>
        <v/>
      </c>
      <c r="J10" s="8">
        <f>IF(Table2[[#This Row],[Over Due Days]]="","",IF(Table2[[#This Row],[Over Due Days]]&lt;90,"Call Customer","Bad Debts"))</f>
        <v/>
      </c>
      <c r="K10" t="inlineStr">
        <is>
          <t>N/A</t>
        </is>
      </c>
    </row>
    <row r="11">
      <c r="A11" s="8" t="inlineStr">
        <is>
          <t>Tomy</t>
        </is>
      </c>
      <c r="B11" s="9" t="n">
        <v>44393</v>
      </c>
      <c r="C11" s="10" t="n">
        <v>48000</v>
      </c>
      <c r="D11" s="11" t="n">
        <v>14</v>
      </c>
      <c r="E11" s="12" t="n">
        <v>35000</v>
      </c>
      <c r="F11" s="9" t="n">
        <v>44284</v>
      </c>
      <c r="G11" s="9">
        <f>IF(Table2[[#This Row],[Invoice Date]]="","",Table2[[#This Row],[Invoice Date]]+Table2[[#This Row],[Payment Terms]])</f>
        <v/>
      </c>
      <c r="H11" s="13">
        <f>Table2[[#This Row],[Invoice Amount]]-Table2[[#This Row],[Amount Received]]</f>
        <v/>
      </c>
      <c r="I11" s="18">
        <f>IF(Table2[[#This Row],[Amount Outstanding]]=0,"",TODAY()-Table2[[#This Row],[Due Date]])</f>
        <v/>
      </c>
      <c r="J11" s="8">
        <f>IF(Table2[[#This Row],[Over Due Days]]="","",IF(Table2[[#This Row],[Over Due Days]]&lt;90,"Call Customer","Bad Debts"))</f>
        <v/>
      </c>
    </row>
    <row r="12">
      <c r="C12" s="14" t="n"/>
      <c r="E12" s="14" t="n"/>
      <c r="H12" s="15" t="n"/>
      <c r="K12" t="inlineStr">
        <is>
          <t>-</t>
        </is>
      </c>
    </row>
    <row customHeight="1" ht="27.5" r="13">
      <c r="C13" s="14" t="n"/>
      <c r="E13" s="14" t="n"/>
      <c r="H13" s="15" t="n"/>
    </row>
    <row r="14">
      <c r="A14" s="16" t="n"/>
      <c r="C14" s="14" t="n"/>
      <c r="E14" s="14" t="n"/>
      <c r="H14" s="15" t="n"/>
      <c r="K14" t="inlineStr">
        <is>
          <t>-</t>
        </is>
      </c>
    </row>
  </sheetData>
  <pageMargins bottom="0.75" footer="0.3" header="0.3" left="0.7" right="0.7" top="0.7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2021-07-16T12:01:00Z</dcterms:created>
  <dcterms:modified xsi:type="dcterms:W3CDTF">2026-05-02T06:35:09Z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E3E5FFFD29A0452688E6DBE32D4B234C_12</vt:lpwstr>
  </property>
  <property fmtid="{D5CDD505-2E9C-101B-9397-08002B2CF9AE}" name="KSOProductBuildVer" pid="3">
    <vt:lpwstr>2052-12.1.0.16729</vt:lpwstr>
  </property>
</Properties>
</file>