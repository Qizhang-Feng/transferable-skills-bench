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6940"/>
  </bookViews>
  <sheets>
    <sheet name="Category Lookup" sheetId="1" state="visible" r:id="rId1"/>
    <sheet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borderId="0" fillId="0" fontId="2" numFmtId="9"/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4" fontId="11" numFmtId="0">
      <alignment vertical="center"/>
    </xf>
    <xf applyAlignment="1" borderId="6" fillId="5" fontId="12" numFmtId="0">
      <alignment vertical="center"/>
    </xf>
    <xf applyAlignment="1" borderId="5" fillId="5" fontId="13" numFmtId="0">
      <alignment vertical="center"/>
    </xf>
    <xf applyAlignment="1" borderId="7" fillId="6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6">
    <xf borderId="0" fillId="0" fontId="0" numFmtId="0" pivotButton="0" quotePrefix="0" xfId="0"/>
    <xf applyAlignment="1" borderId="1" fillId="2" fontId="1" numFmtId="0" pivotButton="0" quotePrefix="0" xfId="0">
      <alignment horizontal="center" vertical="top" wrapText="1"/>
    </xf>
    <xf applyAlignment="1" borderId="1" fillId="0" fontId="0" numFmtId="9" pivotButton="0" quotePrefix="0" xfId="3">
      <alignment horizontal="left"/>
    </xf>
    <xf borderId="1" fillId="0" fontId="0" numFmtId="9" pivotButton="0" quotePrefix="0" xfId="3"/>
    <xf borderId="1" fillId="0" fontId="0" numFmtId="41" pivotButton="0" quotePrefix="0" xfId="3"/>
    <xf borderId="1" fillId="0" fontId="0" numFmtId="41" pivotButton="0" quotePrefix="0" xfId="3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H24" sqref="H24"/>
    </sheetView>
  </sheetViews>
  <sheetFormatPr baseColWidth="8" defaultColWidth="8.83653846153846" defaultRowHeight="16.8" outlineLevelRow="6"/>
  <cols>
    <col customWidth="1" max="2" min="1" width="14.5"/>
  </cols>
  <sheetData>
    <row customHeight="1" ht="51" r="1"/>
    <row r="2">
      <c r="A2" s="1" t="inlineStr">
        <is>
          <t>Primary Category</t>
        </is>
      </c>
      <c r="B2" s="1" t="inlineStr">
        <is>
          <t>Item Code</t>
        </is>
      </c>
      <c r="C2" s="1" t="inlineStr">
        <is>
          <t>0-6 Months</t>
        </is>
      </c>
      <c r="D2" s="1" t="inlineStr">
        <is>
          <t>6-12 Months</t>
        </is>
      </c>
      <c r="E2" s="1" t="inlineStr">
        <is>
          <t>1-2 Years</t>
        </is>
      </c>
      <c r="F2" s="1" t="inlineStr">
        <is>
          <t>2-3 Years</t>
        </is>
      </c>
      <c r="G2" s="1" t="inlineStr">
        <is>
          <t>3-4 Years</t>
        </is>
      </c>
      <c r="H2" s="1" t="inlineStr">
        <is>
          <t>4-5 Years</t>
        </is>
      </c>
      <c r="I2" s="1" t="inlineStr">
        <is>
          <t>Over 5 Years</t>
        </is>
      </c>
      <c r="J2" t="inlineStr">
        <is>
          <t>Unit of Measure</t>
        </is>
      </c>
    </row>
    <row r="3">
      <c r="A3" s="2" t="inlineStr">
        <is>
          <t>Group A</t>
        </is>
      </c>
      <c r="B3" s="2" t="n"/>
      <c r="C3" s="3" t="n">
        <v>0</v>
      </c>
      <c r="D3" s="3" t="n">
        <v>0</v>
      </c>
      <c r="E3" s="3" t="n">
        <v>0.5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B</t>
        </is>
      </c>
      <c r="B4" s="2" t="n"/>
      <c r="C4" s="3" t="n">
        <v>0.1</v>
      </c>
      <c r="D4" s="3" t="n">
        <v>0.2</v>
      </c>
      <c r="E4" s="3" t="n">
        <v>0.25</v>
      </c>
      <c r="F4" s="3" t="n">
        <v>0.5</v>
      </c>
      <c r="G4" s="3" t="n">
        <v>0.5</v>
      </c>
      <c r="H4" s="3" t="n">
        <v>0.5</v>
      </c>
      <c r="I4" s="3" t="n">
        <v>0.5</v>
      </c>
      <c r="J4" t="inlineStr">
        <is>
          <t>-</t>
        </is>
      </c>
    </row>
    <row r="5">
      <c r="A5" s="2" t="inlineStr">
        <is>
          <t>Group C</t>
        </is>
      </c>
      <c r="B5" s="2" t="n"/>
      <c r="C5" s="3" t="n">
        <v>0.05</v>
      </c>
      <c r="D5" s="3" t="n">
        <v>0.1</v>
      </c>
      <c r="E5" s="3" t="n">
        <v>0.1</v>
      </c>
      <c r="F5" s="3" t="n">
        <v>0.1</v>
      </c>
      <c r="G5" s="3" t="n">
        <v>0.1</v>
      </c>
      <c r="H5" s="3" t="n">
        <v>0.1</v>
      </c>
      <c r="I5" s="3" t="n">
        <v>0.1</v>
      </c>
      <c r="J5" t="inlineStr">
        <is>
          <t>N/A</t>
        </is>
      </c>
    </row>
    <row r="6">
      <c r="A6" s="2" t="inlineStr">
        <is>
          <t>Group B</t>
        </is>
      </c>
      <c r="B6" s="2" t="inlineStr">
        <is>
          <t>Material X</t>
        </is>
      </c>
      <c r="C6" s="3" t="n">
        <v>0.12</v>
      </c>
      <c r="D6" s="3" t="n">
        <v>0.13</v>
      </c>
      <c r="E6" s="3" t="n">
        <v>0.5</v>
      </c>
      <c r="F6" s="3" t="n">
        <v>0.5</v>
      </c>
      <c r="G6" s="3" t="n">
        <v>0.5</v>
      </c>
      <c r="H6" s="3" t="n">
        <v>0.75</v>
      </c>
      <c r="I6" s="3" t="n">
        <v>1</v>
      </c>
    </row>
    <row r="7">
      <c r="A7" s="2" t="inlineStr">
        <is>
          <t>Group C</t>
        </is>
      </c>
      <c r="B7" s="2" t="inlineStr">
        <is>
          <t>Material Y</t>
        </is>
      </c>
      <c r="C7" s="3" t="n">
        <v>0.05</v>
      </c>
      <c r="D7" s="3" t="n">
        <v>0.05</v>
      </c>
      <c r="E7" s="3" t="n">
        <v>0.25</v>
      </c>
      <c r="F7" s="3" t="n">
        <v>0.25</v>
      </c>
      <c r="G7" s="3" t="n">
        <v>0.5</v>
      </c>
      <c r="H7" s="3" t="n">
        <v>0.5</v>
      </c>
      <c r="I7" s="3" t="n">
        <v>0.5</v>
      </c>
      <c r="J7" t="inlineStr">
        <is>
          <t>N/A</t>
        </is>
      </c>
    </row>
    <row r="8">
      <c r="A8" s="2" t="inlineStr">
        <is>
          <t>Group D</t>
        </is>
      </c>
      <c r="B8" s="2" t="inlineStr">
        <is>
          <t>Material Z</t>
        </is>
      </c>
      <c r="C8" s="3" t="n">
        <v>0</v>
      </c>
      <c r="D8" s="3" t="n">
        <v>0</v>
      </c>
      <c r="E8" s="3" t="n">
        <v>0.1</v>
      </c>
      <c r="F8" s="3" t="n">
        <v>0.1</v>
      </c>
      <c r="G8" s="3" t="n">
        <v>0.1</v>
      </c>
      <c r="H8" s="3" t="n">
        <v>0.1</v>
      </c>
      <c r="I8" s="3" t="n">
        <v>0.1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/>
  <cols>
    <col customWidth="1" max="1" min="1" width="2.5"/>
    <col customWidth="1" max="2" min="2" width="10"/>
    <col customWidth="1" max="3" min="3" width="8.16346153846154"/>
    <col customWidth="1" hidden="1" max="20" min="12" width="8.83653846153846"/>
  </cols>
  <sheetData>
    <row customHeight="1" ht="51" r="2">
      <c r="B2" s="1" t="inlineStr">
        <is>
          <t>Item Code</t>
        </is>
      </c>
      <c r="C2" s="1" t="inlineStr">
        <is>
          <t>Primary Category</t>
        </is>
      </c>
      <c r="D2" s="1" t="inlineStr">
        <is>
          <t>0-6 Months</t>
        </is>
      </c>
      <c r="E2" s="1" t="inlineStr">
        <is>
          <t>6-12 Months</t>
        </is>
      </c>
      <c r="F2" s="1" t="inlineStr">
        <is>
          <t>1-2 Years</t>
        </is>
      </c>
      <c r="G2" s="1" t="inlineStr">
        <is>
          <t>2-3 Years</t>
        </is>
      </c>
      <c r="H2" s="1" t="inlineStr">
        <is>
          <t>3-4 Years</t>
        </is>
      </c>
      <c r="I2" s="1" t="inlineStr">
        <is>
          <t>4-5 Years</t>
        </is>
      </c>
      <c r="J2" s="1" t="inlineStr">
        <is>
          <t>Over 5 Years</t>
        </is>
      </c>
      <c r="L2" s="1" t="inlineStr">
        <is>
          <t>0-6 Months</t>
        </is>
      </c>
      <c r="M2" s="1" t="inlineStr">
        <is>
          <t>6-12 Months</t>
        </is>
      </c>
      <c r="N2" s="1" t="inlineStr">
        <is>
          <t>1-2 Years</t>
        </is>
      </c>
      <c r="O2" s="1" t="inlineStr">
        <is>
          <t>2-3 Years</t>
        </is>
      </c>
      <c r="P2" s="1" t="inlineStr">
        <is>
          <t>3-4 Years</t>
        </is>
      </c>
      <c r="Q2" s="1" t="inlineStr">
        <is>
          <t>4-5 Years</t>
        </is>
      </c>
      <c r="R2" s="1" t="inlineStr">
        <is>
          <t>Over 5 Years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>
        <f>VLOOKUP(C3,Category Lookup!$A$2:$I$7,3,FALSE)</f>
        <v/>
      </c>
      <c r="E3" s="3">
        <f>VLOOKUP(C3,Category Lookup!$A$2:$I$7,4,FALSE)</f>
        <v/>
      </c>
      <c r="F3" s="3">
        <f>VLOOKUP(C3,Category Lookup!$A$2:$I$7,5,FALSE)</f>
        <v/>
      </c>
      <c r="G3" s="3">
        <f>VLOOKUP(C3,Category Lookup!$A$2:$I$7,6,FALSE)</f>
        <v/>
      </c>
      <c r="H3" s="3" t="n"/>
      <c r="I3" s="3" t="n"/>
      <c r="J3" s="3" t="n"/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>
        <f>VLOOKUP(B4,Category Lookup!$B$2:$I$7,2,FALSE)</f>
        <v/>
      </c>
      <c r="E4" s="3">
        <f>VLOOKUP(B4,Category Lookup!$B$2:$I$7,3,FALSE)</f>
        <v/>
      </c>
      <c r="F4" s="3">
        <f>VLOOKUP(B4,Category Lookup!$B$2:$I$7,4,FALSE)</f>
        <v/>
      </c>
      <c r="G4" s="3">
        <f>VLOOKUP(B4,Category Lookup!$B$2:$I$7,5,FALSE)</f>
        <v/>
      </c>
      <c r="H4" s="3" t="n"/>
      <c r="I4" s="3" t="n"/>
      <c r="J4" s="3" t="n"/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>
        <f>VLOOKUP(C5,Category Lookup!$A$2:$I$7,3,FALSE)</f>
        <v/>
      </c>
      <c r="E5" s="3">
        <f>VLOOKUP(C5,Category Lookup!$A$2:$I$7,4,FALSE)</f>
        <v/>
      </c>
      <c r="F5" s="3">
        <f>VLOOKUP(C5,Category Lookup!$A$2:$I$7,5,FALSE)</f>
        <v/>
      </c>
      <c r="G5" s="3">
        <f>VLOOKUP(C5,Category Lookup!$A$2:$I$7,6,FALSE)</f>
        <v/>
      </c>
      <c r="H5" s="3" t="n"/>
      <c r="I5" s="3" t="n"/>
      <c r="J5" s="3" t="n"/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>
        <f>VLOOKUP(B6,Category Lookup!$B$2:$I$7,2,FALSE)</f>
        <v/>
      </c>
      <c r="E6" s="3">
        <f>VLOOKUP(B6,Category Lookup!$B$2:$I$7,3,FALSE)</f>
        <v/>
      </c>
      <c r="F6" s="3">
        <f>VLOOKUP(B6,Category Lookup!$B$2:$I$7,4,FALSE)</f>
        <v/>
      </c>
      <c r="G6" s="3">
        <f>VLOOKUP(B6,Category Lookup!$B$2:$I$7,5,FALSE)</f>
        <v/>
      </c>
      <c r="H6" s="3" t="n"/>
      <c r="I6" s="3" t="n"/>
      <c r="J6" s="3" t="n"/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e106360</dc:creator>
  <dcterms:created xsi:type="dcterms:W3CDTF">2017-03-05T18:38:00Z</dcterms:created>
  <dcterms:modified xsi:type="dcterms:W3CDTF">2026-05-04T07:30:46Z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26FD25A50560541FC12E3F66255032BE_42</vt:lpwstr>
  </property>
  <property fmtid="{D5CDD505-2E9C-101B-9397-08002B2CF9AE}" name="KSOProductBuildVer" pid="3">
    <vt:lpwstr>2052-6.5.2.8766</vt:lpwstr>
  </property>
</Properties>
</file>