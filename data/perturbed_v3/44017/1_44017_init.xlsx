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840" windowWidth="29040" xWindow="28680" yWindow="-120"/>
  </bookViews>
  <sheets>
    <sheet name="Pricing" sheetId="1" state="visible" r:id="rId1"/>
  </sheets>
  <definedNames>
    <definedName hidden="1" localSheetId="0" name="_xlnm._FilterDatabase">'Pricing'!$C$13:$AV$42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formatCode="0.0%" numFmtId="164"/>
    <numFmt formatCode="[$-409]dd\-mmm\-yy;@" numFmtId="165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borderId="0" fillId="0" fontId="1" numFmtId="0"/>
    <xf borderId="0" fillId="0" fontId="1" numFmtId="43"/>
    <xf borderId="0" fillId="0" fontId="1" numFmtId="9"/>
  </cellStyleXfs>
  <cellXfs count="43">
    <xf borderId="0" fillId="0" fontId="0" numFmtId="0" pivotButton="0" quotePrefix="0" xfId="0"/>
    <xf borderId="0" fillId="0" fontId="2" numFmtId="0" pivotButton="0" quotePrefix="0" xfId="0"/>
    <xf applyAlignment="1" borderId="0" fillId="0" fontId="2" numFmtId="0" pivotButton="0" quotePrefix="0" xfId="0">
      <alignment horizontal="center" vertical="center"/>
    </xf>
    <xf borderId="0" fillId="0" fontId="2" numFmtId="14" pivotButton="0" quotePrefix="0" xfId="0"/>
    <xf applyAlignment="1" borderId="0" fillId="0" fontId="2" numFmtId="164" pivotButton="0" quotePrefix="0" xfId="2">
      <alignment horizontal="center"/>
    </xf>
    <xf borderId="0" fillId="0" fontId="2" numFmtId="43" pivotButton="0" quotePrefix="0" xfId="1"/>
    <xf borderId="0" fillId="0" fontId="2" numFmtId="14" pivotButton="0" quotePrefix="0" xfId="1"/>
    <xf applyAlignment="1" borderId="1" fillId="0" fontId="2" numFmtId="17" pivotButton="0" quotePrefix="0" xfId="1">
      <alignment horizontal="center"/>
    </xf>
    <xf borderId="1" fillId="0" fontId="2" numFmtId="0" pivotButton="0" quotePrefix="0" xfId="0"/>
    <xf applyAlignment="1" borderId="0" fillId="2" fontId="3" numFmtId="43" pivotButton="0" quotePrefix="0" xfId="1">
      <alignment horizontal="centerContinuous"/>
    </xf>
    <xf applyAlignment="1" borderId="0" fillId="2" fontId="3" numFmtId="0" pivotButton="0" quotePrefix="0" xfId="0">
      <alignment horizontal="centerContinuous"/>
    </xf>
    <xf applyAlignment="1" borderId="0" fillId="0" fontId="4" numFmtId="0" pivotButton="0" quotePrefix="0" xfId="0">
      <alignment horizontal="centerContinuous"/>
    </xf>
    <xf applyAlignment="1" borderId="0" fillId="0" fontId="2" numFmtId="0" pivotButton="0" quotePrefix="0" xfId="0">
      <alignment horizontal="centerContinuous"/>
    </xf>
    <xf applyAlignment="1" borderId="1" fillId="3" fontId="4" numFmtId="0" pivotButton="0" quotePrefix="0" xfId="0">
      <alignment horizontal="center" vertical="center"/>
    </xf>
    <xf applyAlignment="1" borderId="1" fillId="3" fontId="4" numFmtId="0" pivotButton="0" quotePrefix="0" xfId="0">
      <alignment horizontal="center" vertical="center" wrapText="1"/>
    </xf>
    <xf applyAlignment="1" borderId="1" fillId="3" fontId="4" numFmtId="14" pivotButton="0" quotePrefix="0" xfId="0">
      <alignment horizontal="center" vertical="center" wrapText="1"/>
    </xf>
    <xf applyAlignment="1" borderId="1" fillId="4" fontId="4" numFmtId="0" pivotButton="0" quotePrefix="0" xfId="0">
      <alignment horizontal="center" vertical="center"/>
    </xf>
    <xf applyAlignment="1" borderId="1" fillId="4" fontId="4" numFmtId="43" pivotButton="0" quotePrefix="0" xfId="1">
      <alignment horizontal="center" vertical="center"/>
    </xf>
    <xf applyAlignment="1" borderId="1" fillId="5" fontId="4" numFmtId="0" pivotButton="0" quotePrefix="0" xfId="0">
      <alignment horizontal="center" vertical="center"/>
    </xf>
    <xf applyAlignment="1" borderId="1" fillId="6" fontId="4" numFmtId="43" pivotButton="0" quotePrefix="0" xfId="1">
      <alignment horizontal="center" vertical="center"/>
    </xf>
    <xf applyAlignment="1" borderId="0" fillId="0" fontId="4" numFmtId="0" pivotButton="0" quotePrefix="0" xfId="0">
      <alignment horizontal="center" vertical="center"/>
    </xf>
    <xf applyAlignment="1" borderId="0" fillId="0" fontId="4" numFmtId="14" pivotButton="0" quotePrefix="0" xfId="0">
      <alignment horizontal="center" vertical="center"/>
    </xf>
    <xf applyAlignment="1" borderId="1" fillId="0" fontId="2" numFmtId="0" pivotButton="0" quotePrefix="0" xfId="0">
      <alignment horizontal="center"/>
    </xf>
    <xf applyAlignment="1" borderId="1" fillId="0" fontId="2" numFmtId="0" pivotButton="0" quotePrefix="0" xfId="0">
      <alignment horizontal="center" vertical="center"/>
    </xf>
    <xf applyAlignment="1" borderId="1" fillId="0" fontId="2" numFmtId="165" pivotButton="0" quotePrefix="0" xfId="0">
      <alignment horizontal="center"/>
    </xf>
    <xf applyAlignment="1" borderId="1" fillId="0" fontId="2" numFmtId="164" pivotButton="0" quotePrefix="0" xfId="0">
      <alignment horizontal="center"/>
    </xf>
    <xf borderId="1" fillId="0" fontId="2" numFmtId="43" pivotButton="0" quotePrefix="0" xfId="1"/>
    <xf borderId="1" fillId="0" fontId="2" numFmtId="43" pivotButton="0" quotePrefix="0" xfId="0"/>
    <xf borderId="1" fillId="0" fontId="2" numFmtId="43" pivotButton="0" quotePrefix="0" xfId="1"/>
    <xf borderId="0" fillId="0" fontId="2" numFmtId="164" pivotButton="0" quotePrefix="0" xfId="2"/>
    <xf borderId="0" fillId="0" fontId="2" numFmtId="10" pivotButton="0" quotePrefix="0" xfId="2"/>
    <xf applyAlignment="1" borderId="1" fillId="0" fontId="2" numFmtId="164" pivotButton="0" quotePrefix="0" xfId="2">
      <alignment horizontal="center"/>
    </xf>
    <xf borderId="2" fillId="6" fontId="4" numFmtId="0" pivotButton="0" quotePrefix="0" xfId="0"/>
    <xf borderId="2" fillId="6" fontId="4" numFmtId="43" pivotButton="0" quotePrefix="0" xfId="1"/>
    <xf borderId="2" fillId="4" fontId="4" numFmtId="43" pivotButton="0" quotePrefix="0" xfId="1"/>
    <xf borderId="2" fillId="4" fontId="2" numFmtId="43" pivotButton="0" quotePrefix="0" xfId="1"/>
    <xf borderId="2" fillId="4" fontId="2" numFmtId="0" pivotButton="0" quotePrefix="0" xfId="0"/>
    <xf applyAlignment="1" borderId="1" fillId="3" fontId="4" numFmtId="164" pivotButton="0" quotePrefix="0" xfId="2">
      <alignment horizontal="center" vertical="center" wrapText="1"/>
    </xf>
    <xf applyAlignment="1" borderId="1" fillId="0" fontId="2" numFmtId="0" pivotButton="0" quotePrefix="0" xfId="0">
      <alignment horizontal="center" vertical="center"/>
    </xf>
    <xf applyAlignment="1" borderId="1" fillId="0" fontId="2" numFmtId="165" pivotButton="0" quotePrefix="0" xfId="0">
      <alignment horizontal="center"/>
    </xf>
    <xf applyAlignment="1" borderId="1" fillId="0" fontId="2" numFmtId="164" pivotButton="0" quotePrefix="0" xfId="0">
      <alignment horizontal="center"/>
    </xf>
    <xf applyAlignment="1" borderId="1" fillId="0" fontId="2" numFmtId="164" pivotButton="0" quotePrefix="0" xfId="2">
      <alignment horizontal="center"/>
    </xf>
    <xf borderId="1" fillId="7" fontId="2" numFmtId="43" pivotButton="0" quotePrefix="0" xfId="1"/>
  </cellXfs>
  <cellStyles count="3">
    <cellStyle builtinId="0" name="Normal" xfId="0"/>
    <cellStyle builtinId="3" name="Comma" xfId="1"/>
    <cellStyle builtinId="5" name="Percent" xfId="2"/>
  </cellStyles>
  <dxfs count="1">
    <dxf>
      <fill>
        <patternFill>
          <bgColor theme="9" tint="0.7999816888943144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Y42"/>
  <sheetViews>
    <sheetView tabSelected="1" workbookViewId="0" zoomScale="55" zoomScaleNormal="55">
      <selection activeCell="AD14" sqref="AD14"/>
    </sheetView>
  </sheetViews>
  <sheetFormatPr baseColWidth="8" defaultRowHeight="13.2"/>
  <cols>
    <col customWidth="1" max="2" min="1" style="1" width="1.33203125"/>
    <col customWidth="1" hidden="1" max="3" min="3" style="1" width="21.21875"/>
    <col customWidth="1" hidden="1" max="4" min="4" style="1" width="16.109375"/>
    <col customWidth="1" hidden="1" max="5" min="5" style="1" width="31"/>
    <col customWidth="1" hidden="1" max="8" min="6" style="1" width="32.5546875"/>
    <col customWidth="1" max="9" min="9" style="1" width="17.88671875"/>
    <col customWidth="1" max="10" min="10" outlineLevel="1" style="1" width="15.77734375"/>
    <col bestFit="1" customWidth="1" max="11" min="11" style="2" width="25.109375"/>
    <col customWidth="1" max="12" min="12" style="3" width="18.5546875"/>
    <col customWidth="1" max="16" min="13" style="4" width="13.5546875"/>
    <col customWidth="1" max="17" min="17" outlineLevel="1" style="5" width="20.33203125"/>
    <col customWidth="1" max="18" min="18" outlineLevel="1" style="5" width="20.6640625"/>
    <col customWidth="1" max="19" min="19" outlineLevel="1" style="5" width="20"/>
    <col customWidth="1" max="20" min="20" outlineLevel="1" style="5" width="20.6640625"/>
    <col customWidth="1" max="21" min="21" outlineLevel="1" style="5" width="20"/>
    <col customWidth="1" max="22" min="22" outlineLevel="1" style="5" width="20.6640625"/>
    <col customWidth="1" max="23" min="23" outlineLevel="1" style="5" width="18.44140625"/>
    <col customWidth="1" max="24" min="24" outlineLevel="1" style="1" width="17.33203125"/>
    <col customWidth="1" max="28" min="25" outlineLevel="1" style="1" width="20.33203125"/>
    <col customWidth="1" max="29" min="29" outlineLevel="1" style="1" width="22"/>
    <col bestFit="1" customWidth="1" max="30" min="30" style="1" width="19.5546875"/>
    <col bestFit="1" customWidth="1" max="32" min="31" style="1" width="20.33203125"/>
    <col bestFit="1" customWidth="1" max="33" min="33" style="1" width="20.6640625"/>
    <col bestFit="1" customWidth="1" max="35" min="34" style="1" width="20.33203125"/>
    <col bestFit="1" customWidth="1" max="36" min="36" style="1" width="20"/>
    <col bestFit="1" customWidth="1" max="41" min="37" style="5" width="20.33203125"/>
    <col bestFit="1" customWidth="1" max="42" min="42" style="1" width="22"/>
    <col bestFit="1" customWidth="1" max="43" min="43" style="1" width="19.6640625"/>
    <col customWidth="1" max="44" min="44" style="1" width="8.88671875"/>
    <col bestFit="1" customWidth="1" max="45" min="45" style="1" width="100.5546875"/>
    <col bestFit="1" customWidth="1" max="46" min="46" style="1" width="15.44140625"/>
    <col customWidth="1" max="50" min="47" style="1" width="8.88671875"/>
    <col bestFit="1" customWidth="1" max="51" min="51" style="1" width="13.33203125"/>
    <col customWidth="1" max="16384" min="52" style="1" width="8.88671875"/>
  </cols>
  <sheetData>
    <row customHeight="1" ht="5.25" r="1">
      <c r="BY1" t="inlineStr">
        <is>
          <t>Rate Adjustment Notes</t>
        </is>
      </c>
    </row>
    <row customHeight="1" ht="5.25" r="2">
      <c r="BY2" t="inlineStr">
        <is>
          <t>-</t>
        </is>
      </c>
    </row>
    <row r="3">
      <c r="BY3" t="inlineStr">
        <is>
          <t>-</t>
        </is>
      </c>
    </row>
    <row r="4">
      <c r="BY4" t="inlineStr">
        <is>
          <t>N/A</t>
        </is>
      </c>
    </row>
    <row r="5">
      <c r="BY5" t="inlineStr">
        <is>
          <t>N/A</t>
        </is>
      </c>
    </row>
    <row r="6">
      <c r="I6" s="1" t="inlineStr">
        <is>
          <t>Yearly</t>
        </is>
      </c>
      <c r="J6" s="1" t="n">
        <v>1</v>
      </c>
      <c r="Q6" s="34" t="inlineStr">
        <is>
          <t>Previous Rates</t>
        </is>
      </c>
      <c r="R6" s="35" t="n"/>
      <c r="S6" s="35" t="n"/>
      <c r="T6" s="35" t="n"/>
      <c r="U6" s="35" t="n"/>
      <c r="V6" s="35" t="n"/>
      <c r="W6" s="35" t="n"/>
      <c r="X6" s="36" t="n"/>
      <c r="Y6" s="36" t="n"/>
      <c r="Z6" s="36" t="n"/>
      <c r="AA6" s="36" t="n"/>
      <c r="AB6" s="36" t="n"/>
      <c r="AD6" s="32" t="inlineStr">
        <is>
          <t>Updated Rates</t>
        </is>
      </c>
      <c r="AE6" s="32" t="n"/>
      <c r="AF6" s="32" t="n"/>
      <c r="AG6" s="32" t="n"/>
      <c r="AH6" s="32" t="n"/>
      <c r="AI6" s="32" t="n"/>
      <c r="AJ6" s="32" t="n"/>
      <c r="AK6" s="33" t="n"/>
      <c r="AL6" s="33" t="n"/>
      <c r="AM6" s="33" t="n"/>
      <c r="AN6" s="33" t="n"/>
      <c r="AO6" s="33" t="n"/>
      <c r="AP6" s="32" t="n"/>
    </row>
    <row r="7">
      <c r="I7" s="1" t="inlineStr">
        <is>
          <t>Semi-annually</t>
        </is>
      </c>
      <c r="J7" s="1" t="n">
        <v>6</v>
      </c>
    </row>
    <row r="8">
      <c r="I8" s="1" t="inlineStr">
        <is>
          <t>Quaterly</t>
        </is>
      </c>
      <c r="J8" s="1" t="n">
        <v>3</v>
      </c>
      <c r="AD8" s="1" t="n">
        <v>1</v>
      </c>
      <c r="AE8" s="1">
        <f>AD8+1</f>
        <v/>
      </c>
      <c r="AF8" s="1">
        <f>AE8+1</f>
        <v/>
      </c>
      <c r="AG8" s="1">
        <f>AF8+1</f>
        <v/>
      </c>
      <c r="AH8" s="1">
        <f>AG8+1</f>
        <v/>
      </c>
      <c r="AI8" s="1">
        <f>AH8+1</f>
        <v/>
      </c>
      <c r="AJ8" s="1">
        <f>AI8+1</f>
        <v/>
      </c>
      <c r="AK8" s="1">
        <f>AJ8+1</f>
        <v/>
      </c>
      <c r="AL8" s="1">
        <f>AK8+1</f>
        <v/>
      </c>
      <c r="AM8" s="1">
        <f>AL8+1</f>
        <v/>
      </c>
      <c r="AN8" s="1">
        <f>AM8+1</f>
        <v/>
      </c>
      <c r="AO8" s="1">
        <f>AN8+1</f>
        <v/>
      </c>
      <c r="BA8" s="1" t="n">
        <v>0</v>
      </c>
      <c r="BY8" t="inlineStr">
        <is>
          <t>N/A</t>
        </is>
      </c>
    </row>
    <row r="9">
      <c r="Q9" s="6" t="n">
        <v>44378</v>
      </c>
      <c r="R9" s="6">
        <f>DATE(YEAR(Q9),MONTH(Q9)+1,1)</f>
        <v/>
      </c>
      <c r="S9" s="6">
        <f>DATE(YEAR(R9),MONTH(R9)+1,1)</f>
        <v/>
      </c>
      <c r="T9" s="6">
        <f>DATE(YEAR(S9),MONTH(S9)+1,1)</f>
        <v/>
      </c>
      <c r="U9" s="6">
        <f>DATE(YEAR(T9),MONTH(T9)+1,1)</f>
        <v/>
      </c>
      <c r="V9" s="6">
        <f>DATE(YEAR(U9),MONTH(U9)+1,1)</f>
        <v/>
      </c>
      <c r="W9" s="6">
        <f>DATE(YEAR(V9),MONTH(V9)+1,1)</f>
        <v/>
      </c>
      <c r="X9" s="6">
        <f>DATE(YEAR(W9),MONTH(W9)+1,1)</f>
        <v/>
      </c>
      <c r="Y9" s="6">
        <f>DATE(YEAR(X9),MONTH(X9)+1,1)</f>
        <v/>
      </c>
      <c r="Z9" s="6">
        <f>DATE(YEAR(Y9),MONTH(Y9)+1,1)</f>
        <v/>
      </c>
      <c r="AA9" s="6">
        <f>DATE(YEAR(Z9),MONTH(Z9)+1,1)</f>
        <v/>
      </c>
      <c r="AB9" s="6">
        <f>DATE(YEAR(AA9),MONTH(AA9)+1,1)</f>
        <v/>
      </c>
      <c r="AD9" s="6">
        <f>DATE(YEAR(AB9),MONTH(AB9)+1,1)</f>
        <v/>
      </c>
      <c r="AE9" s="6">
        <f>DATE(YEAR(AD9),MONTH(AD9)+1,1)</f>
        <v/>
      </c>
      <c r="AF9" s="6">
        <f>DATE(YEAR(AE9),MONTH(AE9)+1,1)</f>
        <v/>
      </c>
      <c r="AG9" s="6">
        <f>DATE(YEAR(AF9),MONTH(AF9)+1,1)</f>
        <v/>
      </c>
      <c r="AH9" s="6">
        <f>DATE(YEAR(AG9),MONTH(AG9)+1,1)</f>
        <v/>
      </c>
      <c r="AI9" s="6">
        <f>DATE(YEAR(AH9),MONTH(AH9)+1,1)</f>
        <v/>
      </c>
      <c r="AJ9" s="6">
        <f>DATE(YEAR(AI9),MONTH(AI9)+1,1)</f>
        <v/>
      </c>
      <c r="AK9" s="6">
        <f>DATE(YEAR(AJ9),MONTH(AJ9)+1,1)</f>
        <v/>
      </c>
      <c r="AL9" s="6">
        <f>DATE(YEAR(AK9),MONTH(AK9)+1,1)</f>
        <v/>
      </c>
      <c r="AM9" s="6">
        <f>DATE(YEAR(AL9),MONTH(AL9)+1,1)</f>
        <v/>
      </c>
      <c r="AN9" s="6">
        <f>DATE(YEAR(AM9),MONTH(AM9)+1,1)</f>
        <v/>
      </c>
      <c r="AO9" s="6">
        <f>DATE(YEAR(AN9),MONTH(AN9)+1,1)</f>
        <v/>
      </c>
      <c r="BA9" s="3">
        <f>AD9</f>
        <v/>
      </c>
      <c r="BB9" s="3">
        <f>AE9</f>
        <v/>
      </c>
      <c r="BC9" s="3">
        <f>AF9</f>
        <v/>
      </c>
      <c r="BD9" s="3">
        <f>AG9</f>
        <v/>
      </c>
      <c r="BE9" s="3">
        <f>AH9</f>
        <v/>
      </c>
      <c r="BF9" s="3">
        <f>AI9</f>
        <v/>
      </c>
      <c r="BG9" s="3">
        <f>AJ9</f>
        <v/>
      </c>
      <c r="BH9" s="3">
        <f>AK9</f>
        <v/>
      </c>
      <c r="BI9" s="3">
        <f>AL9</f>
        <v/>
      </c>
      <c r="BJ9" s="3">
        <f>AM9</f>
        <v/>
      </c>
      <c r="BK9" s="3">
        <f>AN9</f>
        <v/>
      </c>
      <c r="BL9" s="3">
        <f>AO9</f>
        <v/>
      </c>
      <c r="BM9" s="3">
        <f>AP9</f>
        <v/>
      </c>
      <c r="BN9" s="3">
        <f>AQ9</f>
        <v/>
      </c>
      <c r="BO9" s="3">
        <f>AR9</f>
        <v/>
      </c>
      <c r="BP9" s="3">
        <f>AS9</f>
        <v/>
      </c>
      <c r="BQ9" s="3">
        <f>AT9</f>
        <v/>
      </c>
      <c r="BR9" s="3">
        <f>AU9</f>
        <v/>
      </c>
      <c r="BS9" s="3">
        <f>AV9</f>
        <v/>
      </c>
      <c r="BT9" s="3">
        <f>AW9</f>
        <v/>
      </c>
      <c r="BU9" s="3">
        <f>AX9</f>
        <v/>
      </c>
      <c r="BV9" s="3">
        <f>AY9</f>
        <v/>
      </c>
      <c r="BW9" s="3">
        <f>AZ9</f>
        <v/>
      </c>
      <c r="BX9" s="3">
        <f>BA9</f>
        <v/>
      </c>
    </row>
    <row r="10"/>
    <row r="11">
      <c r="Q11" s="7" t="inlineStr">
        <is>
          <t>Jul</t>
        </is>
      </c>
      <c r="R11" s="7" t="inlineStr">
        <is>
          <t>Aug</t>
        </is>
      </c>
      <c r="S11" s="7" t="inlineStr">
        <is>
          <t>Sep</t>
        </is>
      </c>
      <c r="T11" s="7" t="inlineStr">
        <is>
          <t>Oct</t>
        </is>
      </c>
      <c r="U11" s="7" t="inlineStr">
        <is>
          <t>Nov</t>
        </is>
      </c>
      <c r="V11" s="7" t="inlineStr">
        <is>
          <t>Dec</t>
        </is>
      </c>
      <c r="W11" s="7" t="inlineStr">
        <is>
          <t>Jan</t>
        </is>
      </c>
      <c r="X11" s="7" t="inlineStr">
        <is>
          <t>Feb</t>
        </is>
      </c>
      <c r="Y11" s="7" t="inlineStr">
        <is>
          <t>Mar</t>
        </is>
      </c>
      <c r="Z11" s="7" t="inlineStr">
        <is>
          <t>Apr</t>
        </is>
      </c>
      <c r="AA11" s="7" t="inlineStr">
        <is>
          <t>May</t>
        </is>
      </c>
      <c r="AB11" s="7" t="inlineStr">
        <is>
          <t>Jun</t>
        </is>
      </c>
      <c r="AC11" s="8" t="n"/>
      <c r="AD11" s="7" t="inlineStr">
        <is>
          <t>Jul</t>
        </is>
      </c>
      <c r="AE11" s="7" t="inlineStr">
        <is>
          <t>Aug</t>
        </is>
      </c>
      <c r="AF11" s="7" t="inlineStr">
        <is>
          <t>Sep</t>
        </is>
      </c>
      <c r="AG11" s="7" t="inlineStr">
        <is>
          <t>Oct</t>
        </is>
      </c>
      <c r="AH11" s="7" t="inlineStr">
        <is>
          <t>Nov</t>
        </is>
      </c>
      <c r="AI11" s="7" t="inlineStr">
        <is>
          <t>Dec</t>
        </is>
      </c>
      <c r="AJ11" s="7" t="inlineStr">
        <is>
          <t>Jan</t>
        </is>
      </c>
      <c r="AK11" s="7" t="inlineStr">
        <is>
          <t>Feb</t>
        </is>
      </c>
      <c r="AL11" s="7" t="inlineStr">
        <is>
          <t>Mar</t>
        </is>
      </c>
      <c r="AM11" s="7" t="inlineStr">
        <is>
          <t>Apr</t>
        </is>
      </c>
      <c r="AN11" s="7" t="inlineStr">
        <is>
          <t>May</t>
        </is>
      </c>
      <c r="AO11" s="7" t="inlineStr">
        <is>
          <t>Jun</t>
        </is>
      </c>
      <c r="BY11" t="inlineStr"/>
    </row>
    <row r="12">
      <c r="Q12" s="9" t="inlineStr">
        <is>
          <t>FY23</t>
        </is>
      </c>
      <c r="R12" s="9" t="n"/>
      <c r="S12" s="9" t="n"/>
      <c r="T12" s="9" t="n"/>
      <c r="U12" s="9" t="n"/>
      <c r="V12" s="9" t="n"/>
      <c r="W12" s="9" t="n"/>
      <c r="X12" s="10" t="n"/>
      <c r="Y12" s="10" t="n"/>
      <c r="Z12" s="10" t="n"/>
      <c r="AA12" s="10" t="n"/>
      <c r="AB12" s="10" t="n"/>
      <c r="AD12" s="9" t="inlineStr">
        <is>
          <t>FY23</t>
        </is>
      </c>
      <c r="AE12" s="9" t="n"/>
      <c r="AF12" s="9" t="n"/>
      <c r="AG12" s="9" t="n"/>
      <c r="AH12" s="9" t="n"/>
      <c r="AI12" s="9" t="n"/>
      <c r="AJ12" s="9" t="n"/>
      <c r="AK12" s="10" t="n"/>
      <c r="AL12" s="10" t="n"/>
      <c r="AM12" s="10" t="n"/>
      <c r="AN12" s="10" t="n"/>
      <c r="AO12" s="10" t="n"/>
      <c r="BA12" s="11" t="inlineStr">
        <is>
          <t>FY23</t>
        </is>
      </c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1" t="inlineStr">
        <is>
          <t>Frequency</t>
        </is>
      </c>
      <c r="BN12" s="12" t="n"/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t="inlineStr">
        <is>
          <t>N/A</t>
        </is>
      </c>
    </row>
    <row customFormat="1" customHeight="1" ht="26.4" r="13" s="20">
      <c r="C13" s="13" t="n"/>
      <c r="D13" s="13" t="n"/>
      <c r="E13" s="13" t="n"/>
      <c r="F13" s="13" t="n"/>
      <c r="G13" s="13" t="n"/>
      <c r="H13" s="13" t="n"/>
      <c r="I13" s="14" t="inlineStr">
        <is>
          <t>Frequency of increase</t>
        </is>
      </c>
      <c r="J13" s="13" t="inlineStr">
        <is>
          <t>Frequency</t>
        </is>
      </c>
      <c r="K13" s="13" t="inlineStr">
        <is>
          <t>Customer Approved</t>
        </is>
      </c>
      <c r="L13" s="15" t="inlineStr">
        <is>
          <t>Effective Date
(MM/DD/YY)</t>
        </is>
      </c>
      <c r="M13" s="37" t="inlineStr">
        <is>
          <t>1st price increase %</t>
        </is>
      </c>
      <c r="N13" s="37" t="inlineStr">
        <is>
          <t>2nd price increase %</t>
        </is>
      </c>
      <c r="O13" s="37" t="inlineStr">
        <is>
          <t>3rd price increase %</t>
        </is>
      </c>
      <c r="P13" s="37" t="inlineStr">
        <is>
          <t>4th price increase %</t>
        </is>
      </c>
      <c r="Q13" s="16" t="inlineStr">
        <is>
          <t>P01 Old rate</t>
        </is>
      </c>
      <c r="R13" s="16" t="inlineStr">
        <is>
          <t>P02 Old rate</t>
        </is>
      </c>
      <c r="S13" s="16" t="inlineStr">
        <is>
          <t>P03 Old rate</t>
        </is>
      </c>
      <c r="T13" s="16" t="inlineStr">
        <is>
          <t>P04 Old rate</t>
        </is>
      </c>
      <c r="U13" s="16" t="inlineStr">
        <is>
          <t>P05 Old rate</t>
        </is>
      </c>
      <c r="V13" s="17" t="inlineStr">
        <is>
          <t>P06 Old Rate</t>
        </is>
      </c>
      <c r="W13" s="17" t="inlineStr">
        <is>
          <t>P07 Old rate</t>
        </is>
      </c>
      <c r="X13" s="16" t="inlineStr">
        <is>
          <t>P08 Old Rate</t>
        </is>
      </c>
      <c r="Y13" s="16" t="inlineStr">
        <is>
          <t>P09 Old rate</t>
        </is>
      </c>
      <c r="Z13" s="16" t="inlineStr">
        <is>
          <t>P10 Old Rate</t>
        </is>
      </c>
      <c r="AA13" s="16" t="inlineStr">
        <is>
          <t>P11 Old rate</t>
        </is>
      </c>
      <c r="AB13" s="16" t="inlineStr">
        <is>
          <t>P12 Old Rate</t>
        </is>
      </c>
      <c r="AC13" s="18" t="inlineStr">
        <is>
          <t>Total</t>
        </is>
      </c>
      <c r="AD13" s="19" t="inlineStr">
        <is>
          <t>P01</t>
        </is>
      </c>
      <c r="AE13" s="19" t="inlineStr">
        <is>
          <t>P02</t>
        </is>
      </c>
      <c r="AF13" s="19" t="inlineStr">
        <is>
          <t>P03</t>
        </is>
      </c>
      <c r="AG13" s="19" t="inlineStr">
        <is>
          <t>P04</t>
        </is>
      </c>
      <c r="AH13" s="19" t="inlineStr">
        <is>
          <t>P05</t>
        </is>
      </c>
      <c r="AI13" s="19" t="inlineStr">
        <is>
          <t>P06</t>
        </is>
      </c>
      <c r="AJ13" s="19" t="inlineStr">
        <is>
          <t>P07</t>
        </is>
      </c>
      <c r="AK13" s="19" t="inlineStr">
        <is>
          <t>P08</t>
        </is>
      </c>
      <c r="AL13" s="19" t="inlineStr">
        <is>
          <t>P09</t>
        </is>
      </c>
      <c r="AM13" s="19" t="inlineStr">
        <is>
          <t>P10</t>
        </is>
      </c>
      <c r="AN13" s="19" t="inlineStr">
        <is>
          <t>P11</t>
        </is>
      </c>
      <c r="AO13" s="19" t="inlineStr">
        <is>
          <t>P12</t>
        </is>
      </c>
      <c r="AP13" s="19" t="inlineStr">
        <is>
          <t>Total</t>
        </is>
      </c>
      <c r="AQ13" s="19" t="inlineStr">
        <is>
          <t>12 month Impact</t>
        </is>
      </c>
      <c r="AS13" s="13" t="inlineStr">
        <is>
          <t>Latest Comment</t>
        </is>
      </c>
      <c r="AY13" s="21">
        <f>L13</f>
        <v/>
      </c>
      <c r="AZ13" s="21">
        <f>M13</f>
        <v/>
      </c>
      <c r="BA13" s="20" t="inlineStr">
        <is>
          <t>P1</t>
        </is>
      </c>
      <c r="BB13" s="20" t="inlineStr">
        <is>
          <t>P2</t>
        </is>
      </c>
      <c r="BC13" s="20" t="inlineStr">
        <is>
          <t>P3</t>
        </is>
      </c>
      <c r="BD13" s="20" t="inlineStr">
        <is>
          <t>P4</t>
        </is>
      </c>
      <c r="BE13" s="20" t="inlineStr">
        <is>
          <t>P5</t>
        </is>
      </c>
      <c r="BF13" s="20" t="inlineStr">
        <is>
          <t>P6</t>
        </is>
      </c>
      <c r="BG13" s="20" t="inlineStr">
        <is>
          <t>P7</t>
        </is>
      </c>
      <c r="BH13" s="20" t="inlineStr">
        <is>
          <t>P8</t>
        </is>
      </c>
      <c r="BI13" s="20" t="inlineStr">
        <is>
          <t>P9</t>
        </is>
      </c>
      <c r="BJ13" s="20" t="inlineStr">
        <is>
          <t>P10</t>
        </is>
      </c>
      <c r="BK13" s="20" t="inlineStr">
        <is>
          <t>P11</t>
        </is>
      </c>
      <c r="BL13" s="20" t="inlineStr">
        <is>
          <t>P12</t>
        </is>
      </c>
      <c r="BM13" s="20" t="inlineStr">
        <is>
          <t>P1</t>
        </is>
      </c>
      <c r="BN13" s="20" t="inlineStr">
        <is>
          <t>P2</t>
        </is>
      </c>
      <c r="BO13" s="20" t="inlineStr">
        <is>
          <t>P3</t>
        </is>
      </c>
      <c r="BP13" s="20" t="inlineStr">
        <is>
          <t>P4</t>
        </is>
      </c>
      <c r="BQ13" s="20" t="inlineStr">
        <is>
          <t>P5</t>
        </is>
      </c>
      <c r="BR13" s="20" t="inlineStr">
        <is>
          <t>P6</t>
        </is>
      </c>
      <c r="BS13" s="20" t="inlineStr">
        <is>
          <t>P7</t>
        </is>
      </c>
      <c r="BT13" s="20" t="inlineStr">
        <is>
          <t>P8</t>
        </is>
      </c>
      <c r="BU13" s="20" t="inlineStr">
        <is>
          <t>P9</t>
        </is>
      </c>
      <c r="BV13" s="20" t="inlineStr">
        <is>
          <t>P10</t>
        </is>
      </c>
      <c r="BW13" s="20" t="inlineStr">
        <is>
          <t>P11</t>
        </is>
      </c>
      <c r="BX13" s="20" t="inlineStr">
        <is>
          <t>P12</t>
        </is>
      </c>
    </row>
    <row r="14">
      <c r="C14" s="8" t="n"/>
      <c r="D14" s="8" t="n"/>
      <c r="E14" s="8" t="n"/>
      <c r="F14" s="8" t="n"/>
      <c r="G14" s="8" t="n"/>
      <c r="H14" s="8" t="n"/>
      <c r="I14" s="22" t="inlineStr">
        <is>
          <t>Semi-annually</t>
        </is>
      </c>
      <c r="J14" s="22">
        <f>IFERROR(VLOOKUP(I14,$I$6:$J$8,2,FALSE),"Select freq")</f>
        <v/>
      </c>
      <c r="K14" s="38" t="inlineStr">
        <is>
          <t>Approved</t>
        </is>
      </c>
      <c r="L14" s="39" t="n">
        <v>44743</v>
      </c>
      <c r="M14" s="40" t="n">
        <v>0.097</v>
      </c>
      <c r="N14" s="40" t="n">
        <v>0.04</v>
      </c>
      <c r="O14" s="40" t="n"/>
      <c r="P14" s="40" t="n"/>
      <c r="Q14" s="28" t="n">
        <v>50317.29857642756</v>
      </c>
      <c r="R14" s="28" t="n">
        <v>58122.79250655506</v>
      </c>
      <c r="S14" s="28" t="n">
        <v>43035.86996352076</v>
      </c>
      <c r="T14" s="28" t="n">
        <v>62182.32687381041</v>
      </c>
      <c r="U14" s="28" t="n">
        <v>38155.32785784871</v>
      </c>
      <c r="V14" s="28" t="n">
        <v>50028.54064838548</v>
      </c>
      <c r="W14" s="28" t="n">
        <v>36044.11903481081</v>
      </c>
      <c r="X14" s="28" t="n">
        <v>36044.11903481081</v>
      </c>
      <c r="Y14" s="28" t="n">
        <v>54891.15311546103</v>
      </c>
      <c r="Z14" s="28" t="n">
        <v>45055.14879351352</v>
      </c>
      <c r="AA14" s="28" t="n">
        <v>66080.88489715316</v>
      </c>
      <c r="AB14" s="28" t="n">
        <v>66080.88489715316</v>
      </c>
      <c r="AC14" s="27">
        <f>+SUM(Q14:AB14)</f>
        <v/>
      </c>
      <c r="AD14" s="42">
        <f>IF(AND($L14&lt;=AD$9,$I14="Yearly"),Q14*$M14,"")</f>
        <v/>
      </c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8" t="n"/>
      <c r="AP14" s="27">
        <f>+SUM(AD14:AO14)</f>
        <v/>
      </c>
      <c r="AQ14" s="27">
        <f>+AP14-AC14</f>
        <v/>
      </c>
      <c r="AR14" s="29">
        <f>+AQ14/AC14</f>
        <v/>
      </c>
      <c r="AS14" s="8" t="n"/>
      <c r="AY14" s="3">
        <f>L14</f>
        <v/>
      </c>
      <c r="AZ14" s="30">
        <f>M14</f>
        <v/>
      </c>
      <c r="BY14" t="inlineStr">
        <is>
          <t>N/A</t>
        </is>
      </c>
    </row>
    <row r="15">
      <c r="C15" s="8" t="n"/>
      <c r="D15" s="8" t="n"/>
      <c r="E15" s="8" t="n"/>
      <c r="F15" s="8" t="n"/>
      <c r="G15" s="8" t="n"/>
      <c r="H15" s="8" t="n"/>
      <c r="I15" s="22" t="inlineStr">
        <is>
          <t>Yearly</t>
        </is>
      </c>
      <c r="J15" s="22">
        <f>IFERROR(VLOOKUP(I15,$I$6:$J$8,2,FALSE),"Select freq")</f>
        <v/>
      </c>
      <c r="K15" s="38" t="inlineStr">
        <is>
          <t>Approved</t>
        </is>
      </c>
      <c r="L15" s="39" t="n">
        <v>44743</v>
      </c>
      <c r="M15" s="40" t="n">
        <v>0.097</v>
      </c>
      <c r="N15" s="40" t="n"/>
      <c r="O15" s="40" t="n"/>
      <c r="P15" s="40" t="n"/>
      <c r="Q15" s="28" t="n">
        <v>16444.28522934745</v>
      </c>
      <c r="R15" s="28" t="n">
        <v>81104.79683409409</v>
      </c>
      <c r="S15" s="28" t="n">
        <v>88230.38939391875</v>
      </c>
      <c r="T15" s="28" t="n">
        <v>46558.60855494861</v>
      </c>
      <c r="U15" s="28" t="n">
        <v>44863.28609922319</v>
      </c>
      <c r="V15" s="28" t="n">
        <v>58961.41905121665</v>
      </c>
      <c r="W15" s="28" t="n">
        <v>44509.84224990264</v>
      </c>
      <c r="X15" s="28" t="n">
        <v>44509.84224990264</v>
      </c>
      <c r="Y15" s="28" t="n">
        <v>67783.50065165487</v>
      </c>
      <c r="Z15" s="28" t="n">
        <v>55637.30281237829</v>
      </c>
      <c r="AA15" s="28" t="n">
        <v>81601.37745815486</v>
      </c>
      <c r="AB15" s="28" t="n">
        <v>81601.37745815486</v>
      </c>
      <c r="AC15" s="27">
        <f>+SUM(Q15:AB15)</f>
        <v/>
      </c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  <c r="AM15" s="28" t="n"/>
      <c r="AN15" s="28" t="n"/>
      <c r="AO15" s="28" t="n"/>
      <c r="AP15" s="27">
        <f>+SUM(AD15:AO15)</f>
        <v/>
      </c>
      <c r="AQ15" s="27">
        <f>+AP15-AC15</f>
        <v/>
      </c>
      <c r="AR15" s="29">
        <f>+AQ15/AC15</f>
        <v/>
      </c>
      <c r="AS15" s="8" t="n"/>
      <c r="AY15" s="3">
        <f>L15</f>
        <v/>
      </c>
      <c r="AZ15" s="30">
        <f>M15</f>
        <v/>
      </c>
      <c r="BY15" t="inlineStr">
        <is>
          <t>N/A</t>
        </is>
      </c>
    </row>
    <row r="16">
      <c r="C16" s="8" t="n"/>
      <c r="D16" s="8" t="n"/>
      <c r="E16" s="8" t="n"/>
      <c r="F16" s="8" t="n"/>
      <c r="G16" s="8" t="n"/>
      <c r="H16" s="8" t="n"/>
      <c r="I16" s="22" t="n"/>
      <c r="J16" s="22">
        <f>IFERROR(VLOOKUP(I16,$I$6:$J$8,2,FALSE),"Select freq")</f>
        <v/>
      </c>
      <c r="K16" s="38" t="n"/>
      <c r="L16" s="39" t="n"/>
      <c r="M16" s="40" t="n"/>
      <c r="N16" s="40" t="n"/>
      <c r="O16" s="40" t="n"/>
      <c r="P16" s="40" t="n"/>
      <c r="Q16" s="28" t="n">
        <v>0</v>
      </c>
      <c r="R16" s="28" t="n">
        <v>0</v>
      </c>
      <c r="S16" s="28" t="n">
        <v>0</v>
      </c>
      <c r="T16" s="28" t="n">
        <v>0</v>
      </c>
      <c r="U16" s="28" t="n">
        <v>0</v>
      </c>
      <c r="V16" s="28" t="n">
        <v>0</v>
      </c>
      <c r="W16" s="28" t="n">
        <v>0</v>
      </c>
      <c r="X16" s="28" t="n">
        <v>0</v>
      </c>
      <c r="Y16" s="28" t="n">
        <v>0</v>
      </c>
      <c r="Z16" s="28" t="n">
        <v>0</v>
      </c>
      <c r="AA16" s="28" t="n">
        <v>0</v>
      </c>
      <c r="AB16" s="28" t="n">
        <v>0</v>
      </c>
      <c r="AC16" s="27">
        <f>+SUM(Q16:AB16)</f>
        <v/>
      </c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7">
        <f>+SUM(AD16:AO16)</f>
        <v/>
      </c>
      <c r="AQ16" s="27">
        <f>+AP16-AC16</f>
        <v/>
      </c>
      <c r="AR16" s="29" t="n"/>
      <c r="AS16" s="8" t="n"/>
      <c r="AY16" s="3">
        <f>L16</f>
        <v/>
      </c>
      <c r="AZ16" s="30">
        <f>M16</f>
        <v/>
      </c>
      <c r="BY16" t="inlineStr"/>
    </row>
    <row r="17">
      <c r="C17" s="8" t="n"/>
      <c r="D17" s="8" t="n"/>
      <c r="E17" s="8" t="n"/>
      <c r="F17" s="8" t="n"/>
      <c r="G17" s="8" t="n"/>
      <c r="H17" s="8" t="n"/>
      <c r="I17" s="22" t="inlineStr">
        <is>
          <t>Quaterly</t>
        </is>
      </c>
      <c r="J17" s="22">
        <f>IFERROR(VLOOKUP(I17,$I$6:$J$8,2,FALSE),"Select freq")</f>
        <v/>
      </c>
      <c r="K17" s="38" t="inlineStr">
        <is>
          <t>Approved</t>
        </is>
      </c>
      <c r="L17" s="39" t="n">
        <v>44805</v>
      </c>
      <c r="M17" s="40" t="n">
        <v>0.035</v>
      </c>
      <c r="N17" s="40" t="n">
        <v>0.035</v>
      </c>
      <c r="O17" s="40" t="n">
        <v>0.035</v>
      </c>
      <c r="P17" s="40" t="n">
        <v>0.035</v>
      </c>
      <c r="Q17" s="28" t="n">
        <v>105525.012</v>
      </c>
      <c r="R17" s="28" t="n">
        <v>291685.7864999999</v>
      </c>
      <c r="S17" s="28" t="n">
        <v>240792.5960000001</v>
      </c>
      <c r="T17" s="28" t="n">
        <v>199618.6301114059</v>
      </c>
      <c r="U17" s="28" t="n">
        <v>202009.4189005579</v>
      </c>
      <c r="V17" s="28" t="n">
        <v>214859.4084069759</v>
      </c>
      <c r="W17" s="28" t="n">
        <v>154799.9999999999</v>
      </c>
      <c r="X17" s="28" t="n">
        <v>154799.9999999999</v>
      </c>
      <c r="Y17" s="28" t="n">
        <v>235743.0485141545</v>
      </c>
      <c r="Z17" s="28" t="n">
        <v>193500.0000000001</v>
      </c>
      <c r="AA17" s="28" t="n">
        <v>283799.9999999999</v>
      </c>
      <c r="AB17" s="28" t="n">
        <v>283799.9999999999</v>
      </c>
      <c r="AC17" s="27">
        <f>+SUM(Q17:AB17)</f>
        <v/>
      </c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8" t="n"/>
      <c r="AP17" s="27">
        <f>+SUM(AD17:AO17)</f>
        <v/>
      </c>
      <c r="AQ17" s="27">
        <f>+AP17-AC17</f>
        <v/>
      </c>
      <c r="AR17" s="29">
        <f>+AQ17/AC17</f>
        <v/>
      </c>
      <c r="AS17" s="8" t="n"/>
      <c r="AY17" s="3">
        <f>L17</f>
        <v/>
      </c>
      <c r="AZ17" s="30">
        <f>M17</f>
        <v/>
      </c>
      <c r="BY17" t="inlineStr">
        <is>
          <t>N/A</t>
        </is>
      </c>
    </row>
    <row r="18">
      <c r="C18" s="8" t="n"/>
      <c r="D18" s="8" t="n"/>
      <c r="E18" s="8" t="n"/>
      <c r="F18" s="8" t="n"/>
      <c r="G18" s="8" t="n"/>
      <c r="H18" s="8" t="n"/>
      <c r="I18" s="22" t="inlineStr">
        <is>
          <t>Yearly</t>
        </is>
      </c>
      <c r="J18" s="22">
        <f>IFERROR(VLOOKUP(I18,$I$6:$J$8,2,FALSE),"Select freq")</f>
        <v/>
      </c>
      <c r="K18" s="38" t="inlineStr">
        <is>
          <t>Approved</t>
        </is>
      </c>
      <c r="L18" s="39" t="n">
        <v>44743</v>
      </c>
      <c r="M18" s="40" t="n">
        <v>0.097</v>
      </c>
      <c r="N18" s="40" t="n"/>
      <c r="O18" s="40" t="n"/>
      <c r="P18" s="40" t="n"/>
      <c r="Q18" s="28" t="n">
        <v>89121.72369507227</v>
      </c>
      <c r="R18" s="28" t="n">
        <v>96742.03680482839</v>
      </c>
      <c r="S18" s="28" t="n">
        <v>169035.7679999999</v>
      </c>
      <c r="T18" s="28" t="n">
        <v>134218.18414184</v>
      </c>
      <c r="U18" s="28" t="n">
        <v>89540.49399221214</v>
      </c>
      <c r="V18" s="28" t="n">
        <v>137909.7598147101</v>
      </c>
      <c r="W18" s="28" t="n">
        <v>104129.0754096023</v>
      </c>
      <c r="X18" s="28" t="n">
        <v>104129.0754096023</v>
      </c>
      <c r="Y18" s="28" t="n">
        <v>158576.9100518085</v>
      </c>
      <c r="Z18" s="28" t="n">
        <v>130161.344262003</v>
      </c>
      <c r="AA18" s="28" t="n">
        <v>190903.3049176043</v>
      </c>
      <c r="AB18" s="28" t="n">
        <v>190903.3049176043</v>
      </c>
      <c r="AC18" s="27">
        <f>+SUM(Q18:AB18)</f>
        <v/>
      </c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8" t="n"/>
      <c r="AP18" s="27">
        <f>+SUM(AD18:AO18)</f>
        <v/>
      </c>
      <c r="AQ18" s="27">
        <f>+AP18-AC18</f>
        <v/>
      </c>
      <c r="AR18" s="29">
        <f>+AQ18/AC18</f>
        <v/>
      </c>
      <c r="AS18" s="8" t="n"/>
      <c r="AY18" s="3">
        <f>L18</f>
        <v/>
      </c>
      <c r="AZ18" s="30">
        <f>M18</f>
        <v/>
      </c>
      <c r="BY18" t="inlineStr">
        <is>
          <t>N/A</t>
        </is>
      </c>
    </row>
    <row r="19">
      <c r="C19" s="8" t="n"/>
      <c r="D19" s="8" t="n"/>
      <c r="E19" s="8" t="n"/>
      <c r="F19" s="8" t="n"/>
      <c r="G19" s="8" t="n"/>
      <c r="H19" s="8" t="n"/>
      <c r="I19" s="22" t="inlineStr">
        <is>
          <t>Yearly</t>
        </is>
      </c>
      <c r="J19" s="22">
        <f>IFERROR(VLOOKUP(I19,$I$6:$J$8,2,FALSE),"Select freq")</f>
        <v/>
      </c>
      <c r="K19" s="38" t="inlineStr">
        <is>
          <t>Approved</t>
        </is>
      </c>
      <c r="L19" s="39" t="n">
        <v>44743</v>
      </c>
      <c r="M19" s="40" t="n">
        <v>0.097</v>
      </c>
      <c r="N19" s="40" t="n"/>
      <c r="O19" s="40" t="n"/>
      <c r="P19" s="40" t="n"/>
      <c r="Q19" s="28" t="n">
        <v>53383.17899999997</v>
      </c>
      <c r="R19" s="28" t="n">
        <v>65198.19599999997</v>
      </c>
      <c r="S19" s="28" t="n">
        <v>86374.1755541368</v>
      </c>
      <c r="T19" s="28" t="n">
        <v>82895.39210304039</v>
      </c>
      <c r="U19" s="28" t="n">
        <v>72700.33871691259</v>
      </c>
      <c r="V19" s="28" t="n">
        <v>143905.8363283932</v>
      </c>
      <c r="W19" s="28" t="n">
        <v>63364.67999999999</v>
      </c>
      <c r="X19" s="28" t="n">
        <v>63364.67999999999</v>
      </c>
      <c r="Y19" s="28" t="n">
        <v>96497.30511191137</v>
      </c>
      <c r="Z19" s="28" t="n">
        <v>79205.85000000003</v>
      </c>
      <c r="AA19" s="28" t="n">
        <v>116168.58</v>
      </c>
      <c r="AB19" s="28" t="n">
        <v>116168.58</v>
      </c>
      <c r="AC19" s="27">
        <f>+SUM(Q19:AB19)</f>
        <v/>
      </c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8" t="n"/>
      <c r="AP19" s="27">
        <f>+SUM(AD19:AO19)</f>
        <v/>
      </c>
      <c r="AQ19" s="27">
        <f>+AP19-AC19</f>
        <v/>
      </c>
      <c r="AR19" s="29">
        <f>+AQ19/AC19</f>
        <v/>
      </c>
      <c r="AS19" s="8" t="n"/>
      <c r="AY19" s="3">
        <f>L19</f>
        <v/>
      </c>
      <c r="AZ19" s="30">
        <f>M19</f>
        <v/>
      </c>
      <c r="BY19" t="inlineStr">
        <is>
          <t>-</t>
        </is>
      </c>
    </row>
    <row r="20">
      <c r="C20" s="8" t="n"/>
      <c r="D20" s="8" t="n"/>
      <c r="E20" s="8" t="n"/>
      <c r="F20" s="8" t="n"/>
      <c r="G20" s="8" t="n"/>
      <c r="H20" s="8" t="n"/>
      <c r="I20" s="22" t="inlineStr">
        <is>
          <t>Yearly</t>
        </is>
      </c>
      <c r="J20" s="22">
        <f>IFERROR(VLOOKUP(I20,$I$6:$J$8,2,FALSE),"Select freq")</f>
        <v/>
      </c>
      <c r="K20" s="38" t="inlineStr">
        <is>
          <t>Approved</t>
        </is>
      </c>
      <c r="L20" s="39" t="n">
        <v>44743</v>
      </c>
      <c r="M20" s="40" t="n">
        <v>0.097</v>
      </c>
      <c r="N20" s="40" t="n"/>
      <c r="O20" s="40" t="n"/>
      <c r="P20" s="40" t="n"/>
      <c r="Q20" s="28" t="n">
        <v>238602.2753973488</v>
      </c>
      <c r="R20" s="28" t="n">
        <v>267242.6696759611</v>
      </c>
      <c r="S20" s="28" t="n">
        <v>510367.8572213585</v>
      </c>
      <c r="T20" s="28" t="n">
        <v>405529.5323860014</v>
      </c>
      <c r="U20" s="28" t="n">
        <v>435385.0411191544</v>
      </c>
      <c r="V20" s="28" t="n">
        <v>305958.3594089496</v>
      </c>
      <c r="W20" s="28" t="n">
        <v>231053.6131752883</v>
      </c>
      <c r="X20" s="28" t="n">
        <v>231053.6131752883</v>
      </c>
      <c r="Y20" s="28" t="n">
        <v>351868.7541353533</v>
      </c>
      <c r="Z20" s="28" t="n">
        <v>288817.0164691097</v>
      </c>
      <c r="AA20" s="28" t="n">
        <v>423598.290821362</v>
      </c>
      <c r="AB20" s="28" t="n">
        <v>423598.290821362</v>
      </c>
      <c r="AC20" s="27">
        <f>+SUM(Q20:AB20)</f>
        <v/>
      </c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8" t="n"/>
      <c r="AP20" s="27">
        <f>+SUM(AD20:AO20)</f>
        <v/>
      </c>
      <c r="AQ20" s="27">
        <f>+AP20-AC20</f>
        <v/>
      </c>
      <c r="AR20" s="29">
        <f>+AQ20/AC20</f>
        <v/>
      </c>
      <c r="AS20" s="8" t="inlineStr">
        <is>
          <t>- GFS &amp; Sysco have approved</t>
        </is>
      </c>
      <c r="AY20" s="3">
        <f>L20</f>
        <v/>
      </c>
      <c r="AZ20" s="30">
        <f>M20</f>
        <v/>
      </c>
    </row>
    <row r="21">
      <c r="C21" s="8" t="n"/>
      <c r="D21" s="8" t="n"/>
      <c r="E21" s="8" t="n"/>
      <c r="F21" s="8" t="n"/>
      <c r="G21" s="8" t="n"/>
      <c r="H21" s="8" t="n"/>
      <c r="I21" s="22" t="inlineStr">
        <is>
          <t>Yearly</t>
        </is>
      </c>
      <c r="J21" s="22">
        <f>IFERROR(VLOOKUP(I21,$I$6:$J$8,2,FALSE),"Select freq")</f>
        <v/>
      </c>
      <c r="K21" s="38" t="inlineStr">
        <is>
          <t>Approved</t>
        </is>
      </c>
      <c r="L21" s="39" t="n">
        <v>44743</v>
      </c>
      <c r="M21" s="40" t="n">
        <v>0.097</v>
      </c>
      <c r="N21" s="40" t="n"/>
      <c r="O21" s="40" t="n"/>
      <c r="P21" s="40" t="n"/>
      <c r="Q21" s="28" t="n">
        <v>39647.66856934074</v>
      </c>
      <c r="R21" s="28" t="n">
        <v>12410.28122265033</v>
      </c>
      <c r="S21" s="28" t="n">
        <v>19149.36192190285</v>
      </c>
      <c r="T21" s="28" t="n">
        <v>22169.93517513559</v>
      </c>
      <c r="U21" s="28" t="n">
        <v>21903.8007264667</v>
      </c>
      <c r="V21" s="28" t="n">
        <v>19986.92171227683</v>
      </c>
      <c r="W21" s="28" t="n">
        <v>15091.27156794915</v>
      </c>
      <c r="X21" s="28" t="n">
        <v>15091.27156794915</v>
      </c>
      <c r="Y21" s="28" t="n">
        <v>22982.31502185604</v>
      </c>
      <c r="Z21" s="28" t="n">
        <v>18864.08945993649</v>
      </c>
      <c r="AA21" s="28" t="n">
        <v>27667.33120790682</v>
      </c>
      <c r="AB21" s="28" t="n">
        <v>27667.33120790682</v>
      </c>
      <c r="AC21" s="27">
        <f>+SUM(Q21:AB21)</f>
        <v/>
      </c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8" t="n"/>
      <c r="AP21" s="27">
        <f>+SUM(AD21:AO21)</f>
        <v/>
      </c>
      <c r="AQ21" s="27">
        <f>+AP21-AC21</f>
        <v/>
      </c>
      <c r="AR21" s="29">
        <f>+AQ21/AC21</f>
        <v/>
      </c>
      <c r="AS21" s="8" t="n"/>
      <c r="AY21" s="3">
        <f>L21</f>
        <v/>
      </c>
      <c r="AZ21" s="30">
        <f>M21</f>
        <v/>
      </c>
      <c r="BY21" t="inlineStr">
        <is>
          <t>N/A</t>
        </is>
      </c>
    </row>
    <row r="22">
      <c r="C22" s="8" t="n"/>
      <c r="D22" s="8" t="n"/>
      <c r="E22" s="8" t="n"/>
      <c r="F22" s="8" t="n"/>
      <c r="G22" s="8" t="n"/>
      <c r="H22" s="8" t="n"/>
      <c r="I22" s="22" t="n"/>
      <c r="J22" s="22">
        <f>IFERROR(VLOOKUP(I22,$I$6:$J$8,2,FALSE),"Select freq")</f>
        <v/>
      </c>
      <c r="K22" s="38" t="n"/>
      <c r="L22" s="39" t="n"/>
      <c r="M22" s="41" t="n"/>
      <c r="N22" s="41" t="n"/>
      <c r="O22" s="41" t="n"/>
      <c r="P22" s="41" t="n"/>
      <c r="Q22" s="28" t="n">
        <v>36287.68698260339</v>
      </c>
      <c r="R22" s="28" t="n">
        <v>72868.0133569266</v>
      </c>
      <c r="S22" s="28" t="n">
        <v>92882.03232633439</v>
      </c>
      <c r="T22" s="28" t="n">
        <v>188379.7438745943</v>
      </c>
      <c r="U22" s="28" t="n">
        <v>21072.23602827451</v>
      </c>
      <c r="V22" s="28" t="n">
        <v>38482.89024461427</v>
      </c>
      <c r="W22" s="28" t="n">
        <v>34657.26410373516</v>
      </c>
      <c r="X22" s="28" t="n">
        <v>60891.08016705748</v>
      </c>
      <c r="Y22" s="28" t="n">
        <v>67440.2107864783</v>
      </c>
      <c r="Z22" s="28" t="n">
        <v>59697.13741868381</v>
      </c>
      <c r="AA22" s="28" t="n">
        <v>65666.85116055219</v>
      </c>
      <c r="AB22" s="28" t="n">
        <v>72036.53572312575</v>
      </c>
      <c r="AC22" s="27">
        <f>+SUM(Q22:AB22)</f>
        <v/>
      </c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8" t="n"/>
      <c r="AP22" s="27">
        <f>+SUM(AD22:AO22)</f>
        <v/>
      </c>
      <c r="AQ22" s="27">
        <f>+AP22-AC22</f>
        <v/>
      </c>
      <c r="AR22" s="29">
        <f>+AQ22/AC22</f>
        <v/>
      </c>
      <c r="AS22" s="8" t="n"/>
      <c r="AY22" s="3">
        <f>L22</f>
        <v/>
      </c>
      <c r="AZ22" s="30">
        <f>M22</f>
        <v/>
      </c>
      <c r="BY22" t="inlineStr">
        <is>
          <t>-</t>
        </is>
      </c>
    </row>
    <row r="23">
      <c r="C23" s="8" t="n"/>
      <c r="D23" s="8" t="n"/>
      <c r="E23" s="8" t="n"/>
      <c r="F23" s="8" t="n"/>
      <c r="G23" s="8" t="n"/>
      <c r="H23" s="8" t="n"/>
      <c r="I23" s="22" t="inlineStr">
        <is>
          <t>Yearly</t>
        </is>
      </c>
      <c r="J23" s="22">
        <f>IFERROR(VLOOKUP(I23,$I$6:$J$8,2,FALSE),"Select freq")</f>
        <v/>
      </c>
      <c r="K23" s="38" t="n"/>
      <c r="L23" s="39" t="n">
        <v>44743</v>
      </c>
      <c r="M23" s="40" t="n">
        <v>0.097</v>
      </c>
      <c r="N23" s="40" t="n"/>
      <c r="O23" s="40" t="n"/>
      <c r="P23" s="40" t="n"/>
      <c r="Q23" s="28" t="n">
        <v>354889.9498209371</v>
      </c>
      <c r="R23" s="28" t="n">
        <v>354889.9498209371</v>
      </c>
      <c r="S23" s="28" t="n">
        <v>360678.6787400325</v>
      </c>
      <c r="T23" s="28" t="n">
        <v>356819.5261273023</v>
      </c>
      <c r="U23" s="28" t="n">
        <v>356819.5261273023</v>
      </c>
      <c r="V23" s="28" t="n">
        <v>356794.2905731838</v>
      </c>
      <c r="W23" s="28" t="n">
        <v>346013.8988116577</v>
      </c>
      <c r="X23" s="28" t="n">
        <v>346013.8988116577</v>
      </c>
      <c r="Y23" s="28" t="n">
        <v>360542.8093770414</v>
      </c>
      <c r="Z23" s="28" t="n">
        <v>352960.373514572</v>
      </c>
      <c r="AA23" s="28" t="n">
        <v>369168.8144880391</v>
      </c>
      <c r="AB23" s="28" t="n">
        <v>369168.8144880391</v>
      </c>
      <c r="AC23" s="27">
        <f>+SUM(Q23:AB23)</f>
        <v/>
      </c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8" t="n"/>
      <c r="AP23" s="27">
        <f>+SUM(AD23:AO23)</f>
        <v/>
      </c>
      <c r="AQ23" s="27">
        <f>+AP23-AC23</f>
        <v/>
      </c>
      <c r="AR23" s="29">
        <f>+AQ23/AC23</f>
        <v/>
      </c>
      <c r="AS23" s="8" t="n"/>
      <c r="AY23" s="3">
        <f>L23</f>
        <v/>
      </c>
      <c r="AZ23" s="30">
        <f>M23</f>
        <v/>
      </c>
      <c r="BY23" t="inlineStr">
        <is>
          <t>-</t>
        </is>
      </c>
    </row>
    <row r="24">
      <c r="C24" s="8" t="n"/>
      <c r="D24" s="8" t="n"/>
      <c r="E24" s="8" t="n"/>
      <c r="F24" s="8" t="n"/>
      <c r="G24" s="8" t="n"/>
      <c r="H24" s="8" t="n"/>
      <c r="I24" s="22" t="inlineStr">
        <is>
          <t>Yearly</t>
        </is>
      </c>
      <c r="J24" s="22">
        <f>IFERROR(VLOOKUP(I24,$I$6:$J$8,2,FALSE),"Select freq")</f>
        <v/>
      </c>
      <c r="K24" s="38" t="inlineStr">
        <is>
          <t>Approved</t>
        </is>
      </c>
      <c r="L24" s="39" t="n">
        <v>44743</v>
      </c>
      <c r="M24" s="40" t="n">
        <v>0.097</v>
      </c>
      <c r="N24" s="40" t="n"/>
      <c r="O24" s="40" t="n"/>
      <c r="P24" s="40" t="n"/>
      <c r="Q24" s="28" t="n">
        <v>29898.95331935185</v>
      </c>
      <c r="R24" s="28" t="n">
        <v>37420.72208238387</v>
      </c>
      <c r="S24" s="28" t="n">
        <v>30563.15014615797</v>
      </c>
      <c r="T24" s="28" t="n">
        <v>38043.66</v>
      </c>
      <c r="U24" s="28" t="n">
        <v>54941.77838293729</v>
      </c>
      <c r="V24" s="28" t="n">
        <v>39973.84342455366</v>
      </c>
      <c r="W24" s="28" t="n">
        <v>28800</v>
      </c>
      <c r="X24" s="28" t="n">
        <v>28800</v>
      </c>
      <c r="Y24" s="28" t="n">
        <v>43859.17181658688</v>
      </c>
      <c r="Z24" s="28" t="n">
        <v>36000.00000000001</v>
      </c>
      <c r="AA24" s="28" t="n">
        <v>52800</v>
      </c>
      <c r="AB24" s="28" t="n">
        <v>52800</v>
      </c>
      <c r="AC24" s="27">
        <f>+SUM(Q24:AB24)</f>
        <v/>
      </c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8" t="n"/>
      <c r="AP24" s="27">
        <f>+SUM(AD24:AO24)</f>
        <v/>
      </c>
      <c r="AQ24" s="27">
        <f>+AP24-AC24</f>
        <v/>
      </c>
      <c r="AR24" s="29">
        <f>+AQ24/AC24</f>
        <v/>
      </c>
      <c r="AS24" s="8" t="n"/>
      <c r="AY24" s="3">
        <f>L24</f>
        <v/>
      </c>
      <c r="AZ24" s="30">
        <f>M24</f>
        <v/>
      </c>
    </row>
    <row r="25">
      <c r="C25" s="8" t="n"/>
      <c r="D25" s="8" t="n"/>
      <c r="E25" s="8" t="n"/>
      <c r="F25" s="8" t="n"/>
      <c r="G25" s="8" t="n"/>
      <c r="H25" s="8" t="n"/>
      <c r="I25" s="22" t="inlineStr">
        <is>
          <t>Yearly</t>
        </is>
      </c>
      <c r="J25" s="22">
        <f>IFERROR(VLOOKUP(I25,$I$6:$J$8,2,FALSE),"Select freq")</f>
        <v/>
      </c>
      <c r="K25" s="38" t="inlineStr">
        <is>
          <t>Approved</t>
        </is>
      </c>
      <c r="L25" s="39" t="n">
        <v>44805</v>
      </c>
      <c r="M25" s="40" t="n">
        <v>0.097</v>
      </c>
      <c r="N25" s="40" t="n"/>
      <c r="O25" s="40" t="n"/>
      <c r="P25" s="40" t="n"/>
      <c r="Q25" s="28" t="n">
        <v>419468.7602232235</v>
      </c>
      <c r="R25" s="28" t="n">
        <v>419468.7602232235</v>
      </c>
      <c r="S25" s="28" t="n">
        <v>485700.6697321531</v>
      </c>
      <c r="T25" s="28" t="n">
        <v>441546.0633928669</v>
      </c>
      <c r="U25" s="28" t="n">
        <v>441546.0633928669</v>
      </c>
      <c r="V25" s="28" t="n">
        <v>441257.3300698625</v>
      </c>
      <c r="W25" s="28" t="n">
        <v>317913.1656428638</v>
      </c>
      <c r="X25" s="28" t="n">
        <v>317913.1656428638</v>
      </c>
      <c r="Y25" s="28" t="n">
        <v>484146.1164821326</v>
      </c>
      <c r="Z25" s="28" t="n">
        <v>397391.4570535803</v>
      </c>
      <c r="AA25" s="28" t="n">
        <v>582840.8036785843</v>
      </c>
      <c r="AB25" s="28" t="n">
        <v>582840.8036785843</v>
      </c>
      <c r="AC25" s="27">
        <f>+SUM(Q25:AB25)</f>
        <v/>
      </c>
      <c r="AD25" s="28" t="n"/>
      <c r="AE25" s="28" t="n"/>
      <c r="AF25" s="28" t="n"/>
      <c r="AG25" s="28" t="n"/>
      <c r="AH25" s="28" t="n"/>
      <c r="AI25" s="28" t="n"/>
      <c r="AJ25" s="28" t="n"/>
      <c r="AK25" s="28" t="n"/>
      <c r="AL25" s="28" t="n"/>
      <c r="AM25" s="28" t="n"/>
      <c r="AN25" s="28" t="n"/>
      <c r="AO25" s="28" t="n"/>
      <c r="AP25" s="27">
        <f>+SUM(AD25:AO25)</f>
        <v/>
      </c>
      <c r="AQ25" s="27">
        <f>+AP25-AC25</f>
        <v/>
      </c>
      <c r="AR25" s="29">
        <f>+AQ25/AC25</f>
        <v/>
      </c>
      <c r="AS25" s="8" t="inlineStr">
        <is>
          <t>- approved (Quebec - Sept 1; Ontario -Sept 5)</t>
        </is>
      </c>
      <c r="AY25" s="3">
        <f>L25</f>
        <v/>
      </c>
      <c r="AZ25" s="30">
        <f>M25</f>
        <v/>
      </c>
      <c r="BY25" t="inlineStr">
        <is>
          <t>-</t>
        </is>
      </c>
    </row>
    <row r="26">
      <c r="C26" s="8" t="n"/>
      <c r="D26" s="8" t="n"/>
      <c r="E26" s="8" t="n"/>
      <c r="F26" s="8" t="n"/>
      <c r="G26" s="8" t="n"/>
      <c r="H26" s="8" t="n"/>
      <c r="I26" s="22" t="inlineStr">
        <is>
          <t>Yearly</t>
        </is>
      </c>
      <c r="J26" s="22">
        <f>IFERROR(VLOOKUP(I26,$I$6:$J$8,2,FALSE),"Select freq")</f>
        <v/>
      </c>
      <c r="K26" s="38" t="inlineStr">
        <is>
          <t>Approved</t>
        </is>
      </c>
      <c r="L26" s="39" t="n">
        <v>44743</v>
      </c>
      <c r="M26" s="40" t="n">
        <v>0.197</v>
      </c>
      <c r="N26" s="40" t="n"/>
      <c r="O26" s="40" t="n"/>
      <c r="P26" s="40" t="n"/>
      <c r="Q26" s="28" t="n">
        <v>294903.196258815</v>
      </c>
      <c r="R26" s="28" t="n">
        <v>389951.328844281</v>
      </c>
      <c r="S26" s="28" t="n">
        <v>313433.8216019979</v>
      </c>
      <c r="T26" s="28" t="n">
        <v>216627.0492800661</v>
      </c>
      <c r="U26" s="28" t="n">
        <v>335796.207041231</v>
      </c>
      <c r="V26" s="28" t="n">
        <v>279816.9039718757</v>
      </c>
      <c r="W26" s="28" t="n">
        <v>201599.9999999999</v>
      </c>
      <c r="X26" s="28" t="n">
        <v>201599.9999999999</v>
      </c>
      <c r="Y26" s="28" t="n">
        <v>307014.2027161082</v>
      </c>
      <c r="Z26" s="28" t="n">
        <v>252000.0000000001</v>
      </c>
      <c r="AA26" s="28" t="n">
        <v>369600</v>
      </c>
      <c r="AB26" s="28" t="n">
        <v>369600</v>
      </c>
      <c r="AC26" s="27">
        <f>+SUM(Q26:AB26)</f>
        <v/>
      </c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8" t="n"/>
      <c r="AP26" s="27">
        <f>+SUM(AD26:AO26)</f>
        <v/>
      </c>
      <c r="AQ26" s="27">
        <f>+AP26-AC26</f>
        <v/>
      </c>
      <c r="AR26" s="29">
        <f>+AQ26/AC26</f>
        <v/>
      </c>
      <c r="AS26" s="8" t="inlineStr">
        <is>
          <t>- received customer approval April 15th</t>
        </is>
      </c>
      <c r="AY26" s="3">
        <f>L26</f>
        <v/>
      </c>
      <c r="AZ26" s="30">
        <f>M26</f>
        <v/>
      </c>
      <c r="BY26" t="inlineStr">
        <is>
          <t>-</t>
        </is>
      </c>
    </row>
    <row r="27">
      <c r="C27" s="8" t="n"/>
      <c r="D27" s="8" t="n"/>
      <c r="E27" s="8" t="n"/>
      <c r="F27" s="8" t="n"/>
      <c r="G27" s="8" t="n"/>
      <c r="H27" s="8" t="n"/>
      <c r="I27" s="22" t="inlineStr">
        <is>
          <t>Yearly</t>
        </is>
      </c>
      <c r="J27" s="22">
        <f>IFERROR(VLOOKUP(I27,$I$6:$J$8,2,FALSE),"Select freq")</f>
        <v/>
      </c>
      <c r="K27" s="38" t="inlineStr">
        <is>
          <t>Approved</t>
        </is>
      </c>
      <c r="L27" s="39" t="n">
        <v>44743</v>
      </c>
      <c r="M27" s="40" t="n">
        <v>0.097</v>
      </c>
      <c r="N27" s="40" t="n"/>
      <c r="O27" s="40" t="n"/>
      <c r="P27" s="40" t="n"/>
      <c r="Q27" s="28" t="n">
        <v>60904.60892907262</v>
      </c>
      <c r="R27" s="28" t="n">
        <v>32749.22250562743</v>
      </c>
      <c r="S27" s="28" t="n">
        <v>52124.01967135209</v>
      </c>
      <c r="T27" s="28" t="n">
        <v>45973.7621340877</v>
      </c>
      <c r="U27" s="28" t="n">
        <v>30702.460589993</v>
      </c>
      <c r="V27" s="28" t="n">
        <v>49967.30428069207</v>
      </c>
      <c r="W27" s="28" t="n">
        <v>36000</v>
      </c>
      <c r="X27" s="28" t="n">
        <v>36000</v>
      </c>
      <c r="Y27" s="28" t="n">
        <v>54823.96477073361</v>
      </c>
      <c r="Z27" s="28" t="n">
        <v>45000</v>
      </c>
      <c r="AA27" s="28" t="n">
        <v>65999.99999999999</v>
      </c>
      <c r="AB27" s="28" t="n">
        <v>65999.99999999999</v>
      </c>
      <c r="AC27" s="27">
        <f>+SUM(Q27:AB27)</f>
        <v/>
      </c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8" t="n"/>
      <c r="AP27" s="27">
        <f>+SUM(AD27:AO27)</f>
        <v/>
      </c>
      <c r="AQ27" s="27">
        <f>+AP27-AC27</f>
        <v/>
      </c>
      <c r="AR27" s="29">
        <f>+AQ27/AC27</f>
        <v/>
      </c>
      <c r="AS27" s="8" t="n"/>
      <c r="AY27" s="3">
        <f>L27</f>
        <v/>
      </c>
      <c r="AZ27" s="30">
        <f>M27</f>
        <v/>
      </c>
      <c r="BY27" t="inlineStr">
        <is>
          <t>N/A</t>
        </is>
      </c>
    </row>
    <row r="28">
      <c r="C28" s="8" t="n"/>
      <c r="D28" s="8" t="n"/>
      <c r="E28" s="8" t="n"/>
      <c r="F28" s="8" t="n"/>
      <c r="G28" s="8" t="n"/>
      <c r="H28" s="8" t="n"/>
      <c r="I28" s="22" t="inlineStr">
        <is>
          <t>Yearly</t>
        </is>
      </c>
      <c r="J28" s="22">
        <f>IFERROR(VLOOKUP(I28,$I$6:$J$8,2,FALSE),"Select freq")</f>
        <v/>
      </c>
      <c r="K28" s="38" t="inlineStr">
        <is>
          <t>Approved</t>
        </is>
      </c>
      <c r="L28" s="39" t="n">
        <v>44743</v>
      </c>
      <c r="M28" s="40" t="n">
        <v>0.097</v>
      </c>
      <c r="N28" s="40" t="n"/>
      <c r="O28" s="40" t="n"/>
      <c r="P28" s="40" t="n"/>
      <c r="Q28" s="28" t="n">
        <v>100951.7849539931</v>
      </c>
      <c r="R28" s="28" t="n">
        <v>82628.14211420623</v>
      </c>
      <c r="S28" s="28" t="n">
        <v>109869.8417171584</v>
      </c>
      <c r="T28" s="28" t="n">
        <v>191443.6708673859</v>
      </c>
      <c r="U28" s="28" t="n">
        <v>80305.7651589173</v>
      </c>
      <c r="V28" s="28" t="n">
        <v>114924.7998455917</v>
      </c>
      <c r="W28" s="28" t="n">
        <v>86774.43754865538</v>
      </c>
      <c r="X28" s="28" t="n">
        <v>86774.43754865538</v>
      </c>
      <c r="Y28" s="28" t="n">
        <v>132147.7418657693</v>
      </c>
      <c r="Z28" s="28" t="n">
        <v>108468.0469358189</v>
      </c>
      <c r="AA28" s="28" t="n">
        <v>159086.4688392011</v>
      </c>
      <c r="AB28" s="28" t="n">
        <v>159086.4688392011</v>
      </c>
      <c r="AC28" s="27">
        <f>+SUM(Q28:AB28)</f>
        <v/>
      </c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8" t="n"/>
      <c r="AP28" s="27">
        <f>+SUM(AD28:AO28)</f>
        <v/>
      </c>
      <c r="AQ28" s="27">
        <f>+AP28-AC28</f>
        <v/>
      </c>
      <c r="AR28" s="29">
        <f>+AQ28/AC28</f>
        <v/>
      </c>
      <c r="AS28" s="8" t="n"/>
      <c r="AY28" s="3">
        <f>L28</f>
        <v/>
      </c>
      <c r="AZ28" s="30">
        <f>M28</f>
        <v/>
      </c>
    </row>
    <row r="29">
      <c r="C29" s="8" t="n"/>
      <c r="D29" s="8" t="n"/>
      <c r="E29" s="8" t="n"/>
      <c r="F29" s="8" t="n"/>
      <c r="G29" s="8" t="n"/>
      <c r="H29" s="8" t="n"/>
      <c r="I29" s="22" t="inlineStr">
        <is>
          <t>Yearly</t>
        </is>
      </c>
      <c r="J29" s="22">
        <f>IFERROR(VLOOKUP(I29,$I$6:$J$8,2,FALSE),"Select freq")</f>
        <v/>
      </c>
      <c r="K29" s="38" t="inlineStr">
        <is>
          <t>Approved</t>
        </is>
      </c>
      <c r="L29" s="39" t="n">
        <v>44743</v>
      </c>
      <c r="M29" s="40" t="n">
        <v>0.097</v>
      </c>
      <c r="N29" s="40" t="n"/>
      <c r="O29" s="40" t="n"/>
      <c r="P29" s="40" t="n"/>
      <c r="Q29" s="28" t="n">
        <v>324085.635659723</v>
      </c>
      <c r="R29" s="28" t="n">
        <v>200823.7399741867</v>
      </c>
      <c r="S29" s="28" t="n">
        <v>390130.171931535</v>
      </c>
      <c r="T29" s="28" t="n">
        <v>359753.719847441</v>
      </c>
      <c r="U29" s="28" t="n">
        <v>218339.456140079</v>
      </c>
      <c r="V29" s="28" t="n">
        <v>309797.2865402907</v>
      </c>
      <c r="W29" s="28" t="n">
        <v>361151.9999999999</v>
      </c>
      <c r="X29" s="28" t="n">
        <v>281952</v>
      </c>
      <c r="Y29" s="28" t="n">
        <v>339908.5815785482</v>
      </c>
      <c r="Z29" s="28" t="n">
        <v>378000</v>
      </c>
      <c r="AA29" s="28" t="n">
        <v>445302</v>
      </c>
      <c r="AB29" s="28" t="n">
        <v>445302</v>
      </c>
      <c r="AC29" s="27">
        <f>+SUM(Q29:AB29)</f>
        <v/>
      </c>
      <c r="AD29" s="28" t="n"/>
      <c r="AE29" s="28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8" t="n"/>
      <c r="AP29" s="27">
        <f>+SUM(AD29:AO29)</f>
        <v/>
      </c>
      <c r="AQ29" s="27">
        <f>+AP29-AC29</f>
        <v/>
      </c>
      <c r="AR29" s="29">
        <f>+AQ29/AC29</f>
        <v/>
      </c>
      <c r="AS29" s="8" t="inlineStr">
        <is>
          <t>- new price based on RFP bid</t>
        </is>
      </c>
      <c r="AY29" s="3">
        <f>L29</f>
        <v/>
      </c>
      <c r="AZ29" s="30">
        <f>M29</f>
        <v/>
      </c>
      <c r="BY29" t="inlineStr">
        <is>
          <t>-</t>
        </is>
      </c>
    </row>
    <row r="30">
      <c r="C30" s="8" t="n"/>
      <c r="D30" s="8" t="n"/>
      <c r="E30" s="8" t="n"/>
      <c r="F30" s="8" t="n"/>
      <c r="G30" s="8" t="n"/>
      <c r="H30" s="8" t="n"/>
      <c r="I30" s="22" t="n"/>
      <c r="J30" s="22">
        <f>IFERROR(VLOOKUP(I30,$I$6:$J$8,2,FALSE),"Select freq")</f>
        <v/>
      </c>
      <c r="K30" s="38" t="n"/>
      <c r="L30" s="39" t="n"/>
      <c r="M30" s="41" t="n"/>
      <c r="N30" s="41" t="n"/>
      <c r="O30" s="41" t="n"/>
      <c r="P30" s="41" t="n"/>
      <c r="Q30" s="28" t="n">
        <v>105652.9757418448</v>
      </c>
      <c r="R30" s="28" t="n">
        <v>116633.5551263438</v>
      </c>
      <c r="S30" s="28" t="n">
        <v>405059.5165209912</v>
      </c>
      <c r="T30" s="28" t="n">
        <v>195308.81487709</v>
      </c>
      <c r="U30" s="28" t="n">
        <v>228262.4282839586</v>
      </c>
      <c r="V30" s="28" t="n">
        <v>244880.3565048866</v>
      </c>
      <c r="W30" s="28" t="n">
        <v>225637.1632159349</v>
      </c>
      <c r="X30" s="28" t="n">
        <v>225637.1632159349</v>
      </c>
      <c r="Y30" s="28" t="n">
        <v>249905.5330731047</v>
      </c>
      <c r="Z30" s="28" t="n">
        <v>256375.3261843967</v>
      </c>
      <c r="AA30" s="28" t="n">
        <v>282012.8588028365</v>
      </c>
      <c r="AB30" s="28" t="n">
        <v>282012.8588028365</v>
      </c>
      <c r="AC30" s="27">
        <f>+SUM(Q30:AB30)</f>
        <v/>
      </c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8" t="n"/>
      <c r="AP30" s="27">
        <f>+SUM(AD30:AO30)</f>
        <v/>
      </c>
      <c r="AQ30" s="27">
        <f>+AP30-AC30</f>
        <v/>
      </c>
      <c r="AR30" s="29">
        <f>+AQ30/AC30</f>
        <v/>
      </c>
      <c r="AS30" s="8" t="n"/>
      <c r="AY30" s="3">
        <f>L30</f>
        <v/>
      </c>
      <c r="AZ30" s="30">
        <f>M30</f>
        <v/>
      </c>
      <c r="BY30" t="inlineStr">
        <is>
          <t>N/A</t>
        </is>
      </c>
    </row>
    <row r="31">
      <c r="C31" s="8" t="n"/>
      <c r="D31" s="8" t="n"/>
      <c r="E31" s="8" t="n"/>
      <c r="F31" s="8" t="n"/>
      <c r="G31" s="8" t="n"/>
      <c r="H31" s="8" t="n"/>
      <c r="I31" s="22" t="inlineStr">
        <is>
          <t>Yearly</t>
        </is>
      </c>
      <c r="J31" s="22">
        <f>IFERROR(VLOOKUP(I31,$I$6:$J$8,2,FALSE),"Select freq")</f>
        <v/>
      </c>
      <c r="K31" s="38" t="inlineStr">
        <is>
          <t>Approved</t>
        </is>
      </c>
      <c r="L31" s="39" t="n">
        <v>44743</v>
      </c>
      <c r="M31" s="40" t="n">
        <v>0.097</v>
      </c>
      <c r="N31" s="40" t="n"/>
      <c r="O31" s="40" t="n"/>
      <c r="P31" s="40" t="n"/>
      <c r="Q31" s="28" t="n">
        <v>502269.6631543334</v>
      </c>
      <c r="R31" s="28" t="n">
        <v>502269.6631543334</v>
      </c>
      <c r="S31" s="28" t="n">
        <v>581575.3994418602</v>
      </c>
      <c r="T31" s="28" t="n">
        <v>528704.908583509</v>
      </c>
      <c r="U31" s="28" t="n">
        <v>528704.908583509</v>
      </c>
      <c r="V31" s="28" t="n">
        <v>528359.1808377532</v>
      </c>
      <c r="W31" s="28" t="n">
        <v>380667.5341801274</v>
      </c>
      <c r="X31" s="28" t="n">
        <v>380667.5341801274</v>
      </c>
      <c r="Y31" s="28" t="n">
        <v>579713.9856459243</v>
      </c>
      <c r="Z31" s="28" t="n">
        <v>475834.417725159</v>
      </c>
      <c r="AA31" s="28" t="n">
        <v>697890.4793302318</v>
      </c>
      <c r="AB31" s="28" t="n">
        <v>697890.4793302318</v>
      </c>
      <c r="AC31" s="27">
        <f>+SUM(Q31:AB31)</f>
        <v/>
      </c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8" t="n"/>
      <c r="AP31" s="27">
        <f>+SUM(AD31:AO31)</f>
        <v/>
      </c>
      <c r="AQ31" s="27">
        <f>+AP31-AC31</f>
        <v/>
      </c>
      <c r="AR31" s="29">
        <f>+AQ31/AC31</f>
        <v/>
      </c>
      <c r="AS31" s="8" t="inlineStr">
        <is>
          <t>- GFS &amp; Sysco have approved</t>
        </is>
      </c>
      <c r="AY31" s="3">
        <f>L31</f>
        <v/>
      </c>
      <c r="AZ31" s="30">
        <f>M31</f>
        <v/>
      </c>
      <c r="BY31" t="inlineStr">
        <is>
          <t>N/A</t>
        </is>
      </c>
    </row>
    <row r="32">
      <c r="C32" s="8" t="n"/>
      <c r="D32" s="8" t="n"/>
      <c r="E32" s="8" t="n"/>
      <c r="F32" s="8" t="n"/>
      <c r="G32" s="8" t="n"/>
      <c r="H32" s="8" t="n"/>
      <c r="I32" s="22" t="inlineStr">
        <is>
          <t>Yearly</t>
        </is>
      </c>
      <c r="J32" s="22">
        <f>IFERROR(VLOOKUP(I32,$I$6:$J$8,2,FALSE),"Select freq")</f>
        <v/>
      </c>
      <c r="K32" s="38" t="inlineStr">
        <is>
          <t>Approved</t>
        </is>
      </c>
      <c r="L32" s="39" t="n">
        <v>44743</v>
      </c>
      <c r="M32" s="40" t="n">
        <v>0.097</v>
      </c>
      <c r="N32" s="40" t="n"/>
      <c r="O32" s="40" t="n"/>
      <c r="P32" s="40" t="n"/>
      <c r="Q32" s="28" t="n">
        <v>8914.11797272267</v>
      </c>
      <c r="R32" s="28" t="n">
        <v>28332.46142770089</v>
      </c>
      <c r="S32" s="28" t="n">
        <v>26602.22759795062</v>
      </c>
      <c r="T32" s="28" t="n">
        <v>18133.6559385533</v>
      </c>
      <c r="U32" s="28" t="n">
        <v>23451.1964325932</v>
      </c>
      <c r="V32" s="28" t="n">
        <v>24983.65214034604</v>
      </c>
      <c r="W32" s="28" t="n">
        <v>19570.17027133395</v>
      </c>
      <c r="X32" s="28" t="n">
        <v>19570.17027133395</v>
      </c>
      <c r="Y32" s="28" t="n">
        <v>29803.17570869084</v>
      </c>
      <c r="Z32" s="28" t="n">
        <v>24462.7128391675</v>
      </c>
      <c r="AA32" s="28" t="n">
        <v>35878.64549744564</v>
      </c>
      <c r="AB32" s="28" t="n">
        <v>35878.64549744564</v>
      </c>
      <c r="AC32" s="27">
        <f>+SUM(Q32:AB32)</f>
        <v/>
      </c>
      <c r="AD32" s="28" t="n"/>
      <c r="AE32" s="28" t="n"/>
      <c r="AF32" s="28" t="n"/>
      <c r="AG32" s="28" t="n"/>
      <c r="AH32" s="28" t="n"/>
      <c r="AI32" s="28" t="n"/>
      <c r="AJ32" s="28" t="n"/>
      <c r="AK32" s="28" t="n"/>
      <c r="AL32" s="28" t="n"/>
      <c r="AM32" s="28" t="n"/>
      <c r="AN32" s="28" t="n"/>
      <c r="AO32" s="28" t="n"/>
      <c r="AP32" s="27">
        <f>+SUM(AD32:AO32)</f>
        <v/>
      </c>
      <c r="AQ32" s="27">
        <f>+AP32-AC32</f>
        <v/>
      </c>
      <c r="AR32" s="29">
        <f>+AQ32/AC32</f>
        <v/>
      </c>
      <c r="AS32" s="8" t="n"/>
      <c r="AY32" s="3">
        <f>L32</f>
        <v/>
      </c>
      <c r="AZ32" s="30">
        <f>M32</f>
        <v/>
      </c>
    </row>
    <row r="33">
      <c r="C33" s="8" t="n"/>
      <c r="D33" s="8" t="n"/>
      <c r="E33" s="8" t="n"/>
      <c r="F33" s="8" t="n"/>
      <c r="G33" s="8" t="n"/>
      <c r="H33" s="8" t="n"/>
      <c r="I33" s="22" t="inlineStr">
        <is>
          <t>Yearly</t>
        </is>
      </c>
      <c r="J33" s="22">
        <f>IFERROR(VLOOKUP(I33,$I$6:$J$8,2,FALSE),"Select freq")</f>
        <v/>
      </c>
      <c r="K33" s="38" t="inlineStr">
        <is>
          <t>Approved</t>
        </is>
      </c>
      <c r="L33" s="39" t="n">
        <v>44743</v>
      </c>
      <c r="M33" s="40" t="n">
        <v>0.097</v>
      </c>
      <c r="N33" s="40" t="n"/>
      <c r="O33" s="40" t="n"/>
      <c r="P33" s="40" t="n"/>
      <c r="Q33" s="28" t="n">
        <v>75000</v>
      </c>
      <c r="R33" s="28" t="n">
        <v>75000</v>
      </c>
      <c r="S33" s="28" t="n">
        <v>75000</v>
      </c>
      <c r="T33" s="28" t="n">
        <v>75000</v>
      </c>
      <c r="U33" s="28" t="n">
        <v>75000</v>
      </c>
      <c r="V33" s="28" t="n">
        <v>75000</v>
      </c>
      <c r="W33" s="28" t="n">
        <v>75000</v>
      </c>
      <c r="X33" s="28" t="n">
        <v>75000</v>
      </c>
      <c r="Y33" s="28" t="n">
        <v>75000</v>
      </c>
      <c r="Z33" s="28" t="n">
        <v>75000</v>
      </c>
      <c r="AA33" s="28" t="n">
        <v>75000</v>
      </c>
      <c r="AB33" s="28" t="n">
        <v>75000</v>
      </c>
      <c r="AC33" s="27">
        <f>+SUM(Q33:AB33)</f>
        <v/>
      </c>
      <c r="AD33" s="28" t="n"/>
      <c r="AE33" s="28" t="n"/>
      <c r="AF33" s="28" t="n"/>
      <c r="AG33" s="28" t="n"/>
      <c r="AH33" s="28" t="n"/>
      <c r="AI33" s="28" t="n"/>
      <c r="AJ33" s="28" t="n"/>
      <c r="AK33" s="28" t="n"/>
      <c r="AL33" s="28" t="n"/>
      <c r="AM33" s="28" t="n"/>
      <c r="AN33" s="28" t="n"/>
      <c r="AO33" s="28" t="n"/>
      <c r="AP33" s="27">
        <f>+SUM(AD33:AO33)</f>
        <v/>
      </c>
      <c r="AQ33" s="27">
        <f>+AP33-AC33</f>
        <v/>
      </c>
      <c r="AR33" s="29">
        <f>+AQ33/AC33</f>
        <v/>
      </c>
      <c r="AS33" s="8" t="n"/>
      <c r="AY33" s="3">
        <f>L33</f>
        <v/>
      </c>
      <c r="AZ33" s="30">
        <f>M33</f>
        <v/>
      </c>
      <c r="BY33" t="inlineStr"/>
    </row>
    <row r="34">
      <c r="C34" s="8" t="n"/>
      <c r="D34" s="8" t="n"/>
      <c r="E34" s="8" t="n"/>
      <c r="F34" s="8" t="n"/>
      <c r="G34" s="8" t="n"/>
      <c r="H34" s="8" t="n"/>
      <c r="I34" s="22" t="inlineStr">
        <is>
          <t>Yearly</t>
        </is>
      </c>
      <c r="J34" s="22">
        <f>IFERROR(VLOOKUP(I34,$I$6:$J$8,2,FALSE),"Select freq")</f>
        <v/>
      </c>
      <c r="K34" s="38" t="n"/>
      <c r="L34" s="39" t="n">
        <v>44743</v>
      </c>
      <c r="M34" s="40" t="n">
        <v>0.08</v>
      </c>
      <c r="N34" s="40" t="n"/>
      <c r="O34" s="40" t="n"/>
      <c r="P34" s="40" t="n"/>
      <c r="Q34" s="28" t="n">
        <v>726571.0753923524</v>
      </c>
      <c r="R34" s="28" t="n">
        <v>722989.2857317179</v>
      </c>
      <c r="S34" s="28" t="n">
        <v>829308.055352238</v>
      </c>
      <c r="T34" s="28" t="n">
        <v>873268.3209508361</v>
      </c>
      <c r="U34" s="28" t="n">
        <v>869159.053080205</v>
      </c>
      <c r="V34" s="28" t="n">
        <v>871358.4985342942</v>
      </c>
      <c r="W34" s="28" t="n">
        <v>601904.5725375336</v>
      </c>
      <c r="X34" s="28" t="n">
        <v>615475.1307265327</v>
      </c>
      <c r="Y34" s="28" t="n">
        <v>846832.3638690708</v>
      </c>
      <c r="Z34" s="28" t="n">
        <v>879880.9643158737</v>
      </c>
      <c r="AA34" s="28" t="n">
        <v>1154791.266589074</v>
      </c>
      <c r="AB34" s="28" t="n">
        <v>1182432.859427665</v>
      </c>
      <c r="AC34" s="27">
        <f>+SUM(Q34:AB34)</f>
        <v/>
      </c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  <c r="AM34" s="28" t="n"/>
      <c r="AN34" s="28" t="n"/>
      <c r="AO34" s="28" t="n"/>
      <c r="AP34" s="27">
        <f>+SUM(AD34:AO34)</f>
        <v/>
      </c>
      <c r="AQ34" s="27">
        <f>+AP34-AC34</f>
        <v/>
      </c>
      <c r="AR34" s="29">
        <f>+AQ34/AC34</f>
        <v/>
      </c>
      <c r="AS34" s="8" t="inlineStr">
        <is>
          <t>- submitted new cost change form (Apr 26)</t>
        </is>
      </c>
      <c r="AY34" s="3">
        <f>L34</f>
        <v/>
      </c>
      <c r="AZ34" s="30">
        <f>M34</f>
        <v/>
      </c>
    </row>
    <row r="35">
      <c r="C35" s="8" t="n"/>
      <c r="D35" s="8" t="n"/>
      <c r="E35" s="8" t="n"/>
      <c r="F35" s="8" t="n"/>
      <c r="G35" s="8" t="n"/>
      <c r="H35" s="8" t="n"/>
      <c r="I35" s="22" t="n"/>
      <c r="J35" s="22">
        <f>IFERROR(VLOOKUP(I35,$I$6:$J$8,2,FALSE),"Select freq")</f>
        <v/>
      </c>
      <c r="K35" s="38" t="n"/>
      <c r="L35" s="39" t="n"/>
      <c r="M35" s="41" t="n"/>
      <c r="N35" s="41" t="n"/>
      <c r="O35" s="41" t="n"/>
      <c r="P35" s="41" t="n"/>
      <c r="Q35" s="28" t="n">
        <v>0</v>
      </c>
      <c r="R35" s="28" t="n">
        <v>149521.5545</v>
      </c>
      <c r="S35" s="28" t="n">
        <v>570633.3345949972</v>
      </c>
      <c r="T35" s="28" t="n">
        <v>578832.47</v>
      </c>
      <c r="U35" s="28" t="n">
        <v>171153.174281808</v>
      </c>
      <c r="V35" s="28" t="n">
        <v>0</v>
      </c>
      <c r="W35" s="28" t="n">
        <v>0</v>
      </c>
      <c r="X35" s="28" t="n">
        <v>0</v>
      </c>
      <c r="Y35" s="28" t="n">
        <v>0</v>
      </c>
      <c r="Z35" s="28" t="n">
        <v>0</v>
      </c>
      <c r="AA35" s="28" t="n">
        <v>0</v>
      </c>
      <c r="AB35" s="28" t="n">
        <v>0</v>
      </c>
      <c r="AC35" s="27">
        <f>+SUM(Q35:AB35)</f>
        <v/>
      </c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8" t="n"/>
      <c r="AP35" s="27">
        <f>+SUM(AD35:AO35)</f>
        <v/>
      </c>
      <c r="AQ35" s="27">
        <f>+AP35-AC35</f>
        <v/>
      </c>
      <c r="AS35" s="8" t="inlineStr">
        <is>
          <t>3PL distribution change needed (LTL to 3PL) - Sept - Dec program</t>
        </is>
      </c>
      <c r="AY35" s="3">
        <f>L35</f>
        <v/>
      </c>
      <c r="AZ35" s="30">
        <f>M35</f>
        <v/>
      </c>
      <c r="BY35" t="inlineStr">
        <is>
          <t>N/A</t>
        </is>
      </c>
    </row>
    <row r="36">
      <c r="C36" s="8" t="n"/>
      <c r="D36" s="8" t="n"/>
      <c r="E36" s="8" t="n"/>
      <c r="F36" s="8" t="n"/>
      <c r="G36" s="8" t="n"/>
      <c r="H36" s="8" t="n"/>
      <c r="I36" s="22" t="inlineStr">
        <is>
          <t>Yearly</t>
        </is>
      </c>
      <c r="J36" s="22">
        <f>IFERROR(VLOOKUP(I36,$I$6:$J$8,2,FALSE),"Select freq")</f>
        <v/>
      </c>
      <c r="K36" s="38" t="inlineStr">
        <is>
          <t>Approved</t>
        </is>
      </c>
      <c r="L36" s="39" t="n">
        <v>44713</v>
      </c>
      <c r="M36" s="41" t="n">
        <v>0.097</v>
      </c>
      <c r="N36" s="41" t="n"/>
      <c r="O36" s="41" t="n"/>
      <c r="P36" s="41" t="n"/>
      <c r="Q36" s="28" t="n">
        <v>591064.120608185</v>
      </c>
      <c r="R36" s="28" t="n">
        <v>527500.6992698321</v>
      </c>
      <c r="S36" s="28" t="n">
        <v>529859.8985630099</v>
      </c>
      <c r="T36" s="28" t="n">
        <v>518171.225875914</v>
      </c>
      <c r="U36" s="28" t="n">
        <v>401212.9474188479</v>
      </c>
      <c r="V36" s="28" t="n">
        <v>529002.1217342707</v>
      </c>
      <c r="W36" s="28" t="n">
        <v>433816.2698260273</v>
      </c>
      <c r="X36" s="28" t="n">
        <v>394540.7867602975</v>
      </c>
      <c r="Y36" s="28" t="n">
        <v>510686.7884805682</v>
      </c>
      <c r="Z36" s="28" t="n">
        <v>398218.0210407722</v>
      </c>
      <c r="AA36" s="28" t="n">
        <v>475296.932221372</v>
      </c>
      <c r="AB36" s="28" t="n">
        <v>440668.113681892</v>
      </c>
      <c r="AC36" s="27">
        <f>+SUM(Q36:AB36)</f>
        <v/>
      </c>
      <c r="AD36" s="28" t="n"/>
      <c r="AE36" s="28" t="n"/>
      <c r="AF36" s="28" t="n"/>
      <c r="AG36" s="28" t="n"/>
      <c r="AH36" s="28" t="n"/>
      <c r="AI36" s="28" t="n"/>
      <c r="AJ36" s="28" t="n"/>
      <c r="AK36" s="28" t="n"/>
      <c r="AL36" s="28" t="n"/>
      <c r="AM36" s="28" t="n"/>
      <c r="AN36" s="28" t="n"/>
      <c r="AO36" s="28" t="n"/>
      <c r="AP36" s="27">
        <f>+SUM(AD36:AO36)</f>
        <v/>
      </c>
      <c r="AQ36" s="27">
        <f>+AP36-AC36</f>
        <v/>
      </c>
      <c r="AR36" s="29" t="n"/>
      <c r="AS36" s="8" t="inlineStr">
        <is>
          <t>Completed (will re-validate VA's and BOM's)</t>
        </is>
      </c>
      <c r="AY36" s="3">
        <f>L36</f>
        <v/>
      </c>
      <c r="AZ36" s="30">
        <f>M36</f>
        <v/>
      </c>
    </row>
    <row r="37">
      <c r="C37" s="8" t="n"/>
      <c r="D37" s="8" t="n"/>
      <c r="E37" s="8" t="n"/>
      <c r="F37" s="8" t="n"/>
      <c r="G37" s="8" t="n"/>
      <c r="H37" s="8" t="n"/>
      <c r="I37" s="22" t="n"/>
      <c r="J37" s="22">
        <f>IFERROR(VLOOKUP(I37,$I$6:$J$8,2,FALSE),"Select freq")</f>
        <v/>
      </c>
      <c r="K37" s="38" t="n"/>
      <c r="L37" s="39" t="n"/>
      <c r="M37" s="41" t="n"/>
      <c r="N37" s="41" t="n"/>
      <c r="O37" s="41" t="n"/>
      <c r="P37" s="41" t="n"/>
      <c r="Q37" s="28" t="n">
        <v>25956.28415300547</v>
      </c>
      <c r="R37" s="28" t="n">
        <v>25956.28415300547</v>
      </c>
      <c r="S37" s="28" t="n">
        <v>30054.64480874316</v>
      </c>
      <c r="T37" s="28" t="n">
        <v>27322.40437158471</v>
      </c>
      <c r="U37" s="28" t="n">
        <v>27322.40437158471</v>
      </c>
      <c r="V37" s="28" t="n">
        <v>27304.53785830169</v>
      </c>
      <c r="W37" s="28" t="n">
        <v>24590.16393442623</v>
      </c>
      <c r="X37" s="28" t="n">
        <v>24590.16393442623</v>
      </c>
      <c r="Y37" s="28" t="n">
        <v>27234.95517671813</v>
      </c>
      <c r="Z37" s="28" t="n">
        <v>27322.40437158471</v>
      </c>
      <c r="AA37" s="28" t="n">
        <v>30054.64480874316</v>
      </c>
      <c r="AB37" s="28" t="n">
        <v>30054.64480874316</v>
      </c>
      <c r="AC37" s="27">
        <f>+SUM(Q37:AB37)</f>
        <v/>
      </c>
      <c r="AD37" s="28" t="n"/>
      <c r="AE37" s="28" t="n"/>
      <c r="AF37" s="28" t="n"/>
      <c r="AG37" s="28" t="n"/>
      <c r="AH37" s="28" t="n"/>
      <c r="AI37" s="28" t="n"/>
      <c r="AJ37" s="28" t="n"/>
      <c r="AK37" s="28" t="n"/>
      <c r="AL37" s="28" t="n"/>
      <c r="AM37" s="28" t="n"/>
      <c r="AN37" s="28" t="n"/>
      <c r="AO37" s="28" t="n"/>
      <c r="AP37" s="27">
        <f>+SUM(AD37:AO37)</f>
        <v/>
      </c>
      <c r="AQ37" s="27">
        <f>+AP37-AC37</f>
        <v/>
      </c>
      <c r="AS37" s="8" t="n"/>
      <c r="AY37" s="3">
        <f>L37</f>
        <v/>
      </c>
      <c r="AZ37" s="30">
        <f>M37</f>
        <v/>
      </c>
      <c r="BY37" t="inlineStr"/>
    </row>
    <row r="38">
      <c r="C38" s="8" t="n"/>
      <c r="D38" s="8" t="n"/>
      <c r="E38" s="8" t="n"/>
      <c r="F38" s="8" t="n"/>
      <c r="G38" s="8" t="n"/>
      <c r="H38" s="8" t="n"/>
      <c r="I38" s="22" t="n"/>
      <c r="J38" s="22">
        <f>IFERROR(VLOOKUP(I38,$I$6:$J$8,2,FALSE),"Select freq")</f>
        <v/>
      </c>
      <c r="K38" s="38" t="n"/>
      <c r="L38" s="39" t="n"/>
      <c r="M38" s="41" t="n"/>
      <c r="N38" s="41" t="n"/>
      <c r="O38" s="41" t="n"/>
      <c r="P38" s="41" t="n"/>
      <c r="Q38" s="28" t="n">
        <v>522364.8910372815</v>
      </c>
      <c r="R38" s="28" t="n">
        <v>414289.2943916702</v>
      </c>
      <c r="S38" s="28" t="n">
        <v>674181.412105463</v>
      </c>
      <c r="T38" s="28" t="n">
        <v>516118.7315358795</v>
      </c>
      <c r="U38" s="28" t="n">
        <v>493229.6433687693</v>
      </c>
      <c r="V38" s="28" t="n">
        <v>391980.6700543527</v>
      </c>
      <c r="W38" s="28" t="n">
        <v>376293.1714878409</v>
      </c>
      <c r="X38" s="28" t="n">
        <v>488163.855676605</v>
      </c>
      <c r="Y38" s="28" t="n">
        <v>540668.7021538998</v>
      </c>
      <c r="Z38" s="28" t="n">
        <v>542404.7301835717</v>
      </c>
      <c r="AA38" s="28" t="n">
        <v>596645.3877301759</v>
      </c>
      <c r="AB38" s="28" t="n">
        <v>596644.3945804671</v>
      </c>
      <c r="AC38" s="27">
        <f>+SUM(Q38:AB38)</f>
        <v/>
      </c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  <c r="AM38" s="28" t="n"/>
      <c r="AN38" s="28" t="n"/>
      <c r="AO38" s="28" t="n"/>
      <c r="AP38" s="27">
        <f>+SUM(AD38:AO38)</f>
        <v/>
      </c>
      <c r="AQ38" s="27">
        <f>+AP38-AC38</f>
        <v/>
      </c>
      <c r="AS38" s="8" t="inlineStr">
        <is>
          <t xml:space="preserve">Initial discussion - in Rd 2 of RFP - Awaiting feedback on RFP </t>
        </is>
      </c>
      <c r="AY38" s="3">
        <f>L38</f>
        <v/>
      </c>
      <c r="AZ38" s="30">
        <f>M38</f>
        <v/>
      </c>
      <c r="BY38" t="inlineStr">
        <is>
          <t>-</t>
        </is>
      </c>
    </row>
    <row r="39">
      <c r="C39" s="8" t="n"/>
      <c r="D39" s="8" t="n"/>
      <c r="E39" s="8" t="n"/>
      <c r="F39" s="8" t="n"/>
      <c r="G39" s="8" t="n"/>
      <c r="H39" s="8" t="n"/>
      <c r="I39" s="22" t="n"/>
      <c r="J39" s="22">
        <f>IFERROR(VLOOKUP(I39,$I$6:$J$8,2,FALSE),"Select freq")</f>
        <v/>
      </c>
      <c r="K39" s="38" t="n"/>
      <c r="L39" s="39" t="n"/>
      <c r="M39" s="41" t="n"/>
      <c r="N39" s="41" t="n"/>
      <c r="O39" s="41" t="n"/>
      <c r="P39" s="41" t="n"/>
      <c r="Q39" s="28" t="n">
        <v>68797.83615823291</v>
      </c>
      <c r="R39" s="28" t="n">
        <v>63257.68000000001</v>
      </c>
      <c r="S39" s="28" t="n">
        <v>61759.99999999999</v>
      </c>
      <c r="T39" s="28" t="n">
        <v>77200</v>
      </c>
      <c r="U39" s="28" t="n">
        <v>77200</v>
      </c>
      <c r="V39" s="28" t="n">
        <v>77200</v>
      </c>
      <c r="W39" s="28" t="n">
        <v>77200</v>
      </c>
      <c r="X39" s="28" t="n">
        <v>77200</v>
      </c>
      <c r="Y39" s="28" t="n">
        <v>77200</v>
      </c>
      <c r="Z39" s="28" t="n">
        <v>77200</v>
      </c>
      <c r="AA39" s="28" t="n">
        <v>77200</v>
      </c>
      <c r="AB39" s="28" t="n">
        <v>84688.39999999998</v>
      </c>
      <c r="AC39" s="27">
        <f>+SUM(Q39:AB39)</f>
        <v/>
      </c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8" t="n"/>
      <c r="AP39" s="27">
        <f>+SUM(AD39:AO39)</f>
        <v/>
      </c>
      <c r="AQ39" s="27">
        <f>+AP39-AC39</f>
        <v/>
      </c>
      <c r="AS39" s="8" t="inlineStr">
        <is>
          <t>Re-discussing on 5/6- may move to pricing model with them buying select specialized items - Will potentially lower toll</t>
        </is>
      </c>
      <c r="AY39" s="3">
        <f>L39</f>
        <v/>
      </c>
      <c r="AZ39" s="30">
        <f>M39</f>
        <v/>
      </c>
      <c r="BY39" t="inlineStr">
        <is>
          <t>-</t>
        </is>
      </c>
    </row>
    <row r="40">
      <c r="C40" s="8" t="n"/>
      <c r="D40" s="8" t="n"/>
      <c r="E40" s="8" t="n"/>
      <c r="F40" s="8" t="n"/>
      <c r="G40" s="8" t="n"/>
      <c r="H40" s="8" t="n"/>
      <c r="I40" s="22" t="inlineStr">
        <is>
          <t>Yearly</t>
        </is>
      </c>
      <c r="J40" s="22">
        <f>IFERROR(VLOOKUP(I40,$I$6:$J$8,2,FALSE),"Select freq")</f>
        <v/>
      </c>
      <c r="K40" s="38" t="inlineStr">
        <is>
          <t>Approved</t>
        </is>
      </c>
      <c r="L40" s="39" t="n">
        <v>44652</v>
      </c>
      <c r="M40" s="41" t="n">
        <v>0.2421</v>
      </c>
      <c r="N40" s="41" t="n"/>
      <c r="O40" s="41" t="n"/>
      <c r="P40" s="41" t="n"/>
      <c r="Q40" s="28" t="n">
        <v>2673389.268292674</v>
      </c>
      <c r="R40" s="28" t="n">
        <v>2667395.121951211</v>
      </c>
      <c r="S40" s="28" t="n">
        <v>2663399.024390235</v>
      </c>
      <c r="T40" s="28" t="n">
        <v>2673389.268292674</v>
      </c>
      <c r="U40" s="28" t="n">
        <v>2683379.512195113</v>
      </c>
      <c r="V40" s="28" t="n">
        <v>1982563.902439024</v>
      </c>
      <c r="W40" s="28" t="n">
        <v>1982563.902439024</v>
      </c>
      <c r="X40" s="28" t="n">
        <v>1982563.902439024</v>
      </c>
      <c r="Y40" s="28" t="n">
        <v>1982563.902439024</v>
      </c>
      <c r="Z40" s="28" t="n">
        <v>1982563.902439024</v>
      </c>
      <c r="AA40" s="28" t="n">
        <v>1982563.902439024</v>
      </c>
      <c r="AB40" s="28" t="n">
        <v>1982563.902439024</v>
      </c>
      <c r="AC40" s="27">
        <f>+SUM(Q40:AB40)</f>
        <v/>
      </c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8" t="n"/>
      <c r="AP40" s="27">
        <f>+SUM(AD40:AO40)</f>
        <v/>
      </c>
      <c r="AQ40" s="27">
        <f>+AP40-AC40</f>
        <v/>
      </c>
      <c r="AR40" s="29" t="n"/>
      <c r="AS40" s="8" t="inlineStr">
        <is>
          <t>Approved by Nestle (21.4% Choc Lovers; 27.2% Choc Chip Bar)</t>
        </is>
      </c>
      <c r="AY40" s="3">
        <f>L40</f>
        <v/>
      </c>
      <c r="AZ40" s="30">
        <f>M40</f>
        <v/>
      </c>
    </row>
    <row r="41">
      <c r="C41" s="8" t="n"/>
      <c r="D41" s="8" t="n"/>
      <c r="E41" s="8" t="n"/>
      <c r="F41" s="8" t="n"/>
      <c r="G41" s="8" t="n"/>
      <c r="H41" s="8" t="n"/>
      <c r="I41" s="22" t="inlineStr">
        <is>
          <t>Yearly</t>
        </is>
      </c>
      <c r="J41" s="22">
        <f>IFERROR(VLOOKUP(I41,$I$6:$J$8,2,FALSE),"Select freq")</f>
        <v/>
      </c>
      <c r="K41" s="38" t="inlineStr">
        <is>
          <t>Approved</t>
        </is>
      </c>
      <c r="L41" s="39" t="n">
        <v>44743</v>
      </c>
      <c r="M41" s="41" t="n">
        <v>0.097</v>
      </c>
      <c r="N41" s="41" t="n"/>
      <c r="O41" s="41" t="n"/>
      <c r="P41" s="41" t="n"/>
      <c r="Q41" s="28" t="n">
        <v>175779.1669038551</v>
      </c>
      <c r="R41" s="28" t="n">
        <v>133046.7191553936</v>
      </c>
      <c r="S41" s="28" t="n">
        <v>180839.0386403348</v>
      </c>
      <c r="T41" s="28" t="n">
        <v>212677.325088328</v>
      </c>
      <c r="U41" s="28" t="n">
        <v>232124.39539348</v>
      </c>
      <c r="V41" s="28" t="n">
        <v>163113.4559784194</v>
      </c>
      <c r="W41" s="28" t="n">
        <v>146898.1692067221</v>
      </c>
      <c r="X41" s="28" t="n">
        <v>146898.1692067221</v>
      </c>
      <c r="Y41" s="28" t="n">
        <v>162697.7788580727</v>
      </c>
      <c r="Z41" s="28" t="n">
        <v>163220.188007469</v>
      </c>
      <c r="AA41" s="28" t="n">
        <v>179542.206808216</v>
      </c>
      <c r="AB41" s="28" t="n">
        <v>179542.206808216</v>
      </c>
      <c r="AC41" s="27">
        <f>+SUM(Q41:AB41)</f>
        <v/>
      </c>
      <c r="AD41" s="28" t="n"/>
      <c r="AE41" s="28" t="n"/>
      <c r="AF41" s="28" t="n"/>
      <c r="AG41" s="28" t="n"/>
      <c r="AH41" s="28" t="n"/>
      <c r="AI41" s="28" t="n"/>
      <c r="AJ41" s="28" t="n"/>
      <c r="AK41" s="28" t="n"/>
      <c r="AL41" s="28" t="n"/>
      <c r="AM41" s="28" t="n"/>
      <c r="AN41" s="28" t="n"/>
      <c r="AO41" s="28" t="n"/>
      <c r="AP41" s="27">
        <f>+SUM(AD41:AO41)</f>
        <v/>
      </c>
      <c r="AQ41" s="27">
        <f>+AP41-AC41</f>
        <v/>
      </c>
      <c r="AR41" s="30" t="n"/>
      <c r="AS41" s="8" t="inlineStr">
        <is>
          <t>Completed</t>
        </is>
      </c>
      <c r="AY41" s="3">
        <f>L41</f>
        <v/>
      </c>
      <c r="AZ41" s="30">
        <f>M41</f>
        <v/>
      </c>
      <c r="BY41" t="inlineStr">
        <is>
          <t>-</t>
        </is>
      </c>
    </row>
    <row r="42">
      <c r="C42" s="8" t="n"/>
      <c r="D42" s="8" t="n"/>
      <c r="E42" s="8" t="n"/>
      <c r="F42" s="8" t="n"/>
      <c r="G42" s="8" t="n"/>
      <c r="H42" s="8" t="n"/>
      <c r="I42" s="22" t="n"/>
      <c r="J42" s="22">
        <f>IFERROR(VLOOKUP(I42,$I$6:$J$8,2,FALSE),"Select freq")</f>
        <v/>
      </c>
      <c r="K42" s="38" t="n"/>
      <c r="L42" s="39" t="n"/>
      <c r="M42" s="41" t="n"/>
      <c r="N42" s="41" t="n"/>
      <c r="O42" s="41" t="n"/>
      <c r="P42" s="41" t="n"/>
      <c r="Q42" s="28" t="n">
        <v>0</v>
      </c>
      <c r="R42" s="28" t="n">
        <v>272810.5181550072</v>
      </c>
      <c r="S42" s="28" t="n">
        <v>315885.8631268505</v>
      </c>
      <c r="T42" s="28" t="n">
        <v>287168.966478955</v>
      </c>
      <c r="U42" s="28" t="n">
        <v>287168.966478955</v>
      </c>
      <c r="V42" s="28" t="n">
        <v>286981.1825605162</v>
      </c>
      <c r="W42" s="28" t="n">
        <v>258452.0698310595</v>
      </c>
      <c r="X42" s="28" t="n">
        <v>258452.0698310595</v>
      </c>
      <c r="Y42" s="28" t="n">
        <v>286249.8418452765</v>
      </c>
      <c r="Z42" s="28" t="n">
        <v>287168.966478955</v>
      </c>
      <c r="AA42" s="28" t="n">
        <v>315885.8631268505</v>
      </c>
      <c r="AB42" s="28" t="n">
        <v>346526.791850155</v>
      </c>
      <c r="AC42" s="27">
        <f>+SUM(Q42:AB42)</f>
        <v/>
      </c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  <c r="AN42" s="28" t="n"/>
      <c r="AO42" s="28" t="n"/>
      <c r="AP42" s="27">
        <f>+SUM(AD42:AO42)</f>
        <v/>
      </c>
      <c r="AQ42" s="27">
        <f>+AP42-AC42</f>
        <v/>
      </c>
      <c r="AS42" s="8" t="inlineStr">
        <is>
          <t>Resubmitted additional pricing (9.7%+10%) -  Response on 5/3 was price increase rejected</t>
        </is>
      </c>
      <c r="AY42" s="3">
        <f>L42</f>
        <v/>
      </c>
      <c r="AZ42" s="30">
        <f>M42</f>
        <v/>
      </c>
      <c r="BY42" t="inlineStr">
        <is>
          <t>-</t>
        </is>
      </c>
    </row>
  </sheetData>
  <autoFilter ref="C13:AV42"/>
  <conditionalFormatting sqref="AD14:AO42">
    <cfRule dxfId="0" priority="1" type="expression">
      <formula>BA14=1</formula>
    </cfRule>
  </conditionalFormatting>
  <pageMargins bottom="0.41" footer="0.23" header="0.2" left="0.25" right="0.25" top="0.37"/>
  <pageSetup fitToHeight="0" orientation="portrait"/>
  <headerFooter>
    <oddHeader>&amp;R&amp;"Arial,Regular"&amp;8 DRAFT</oddHeader>
    <oddFooter>&amp;L&amp;"Arial,Regular"&amp;8 &amp;F&amp;C&amp;"Arial,Regular"&amp;8 Confidential&amp;R&amp;"Arial,Regular"&amp;8 Page: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Hamad Haque</dc:creator>
  <dcterms:created xsi:type="dcterms:W3CDTF">2022-06-22T14:07:09Z</dcterms:created>
  <dcterms:modified xsi:type="dcterms:W3CDTF">2026-05-02T06:36:53Z</dcterms:modified>
  <cp:lastModifiedBy>Hamad Haque</cp:lastModifiedBy>
</cp:coreProperties>
</file>