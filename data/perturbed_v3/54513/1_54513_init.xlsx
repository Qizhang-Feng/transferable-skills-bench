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300" windowWidth="24240" xWindow="-120" yWindow="740"/>
  </bookViews>
  <sheets>
    <sheet name="Pricing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formatCode="_-&quot;$&quot;* #,##0.00_-;\-&quot;$&quot;* #,##0.00_-;_-&quot;$&quot;* &quot;-&quot;??_-;_-@_-" numFmtId="164"/>
    <numFmt formatCode="#,###.00;#,###.00" numFmtId="165"/>
    <numFmt formatCode="&quot;$&quot;#,##0.00;[Red]\-&quot;$&quot;#,##0.00" numFmtId="166"/>
    <numFmt formatCode="&quot;$&quot;#,##0;[Red]\-&quot;$&quot;#,##0" numFmtId="167"/>
    <numFmt formatCode="_-&quot;$&quot;* #,##0.00_-;\-&quot;$&quot;* #,##0.00_-;_-&quot;$&quot;* &quot;-&quot;_-;_-@_-" numFmtId="168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borderId="0" fillId="0" fontId="1" numFmtId="0"/>
    <xf borderId="0" fillId="0" fontId="1" numFmtId="164"/>
    <xf borderId="0" fillId="0" fontId="1" numFmtId="9"/>
  </cellStyleXfs>
  <cellXfs count="48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applyProtection="1" borderId="1" fillId="2" fontId="4" numFmtId="0" pivotButton="0" quotePrefix="0" xfId="0">
      <alignment horizontal="center"/>
      <protection hidden="0" locked="0"/>
    </xf>
    <xf applyAlignment="1" applyProtection="1" borderId="1" fillId="3" fontId="8" numFmtId="0" pivotButton="0" quotePrefix="0" xfId="0">
      <alignment horizontal="center"/>
      <protection hidden="0" locked="0"/>
    </xf>
    <xf applyAlignment="1" borderId="2" fillId="0" fontId="5" numFmtId="0" pivotButton="0" quotePrefix="0" xfId="0">
      <alignment horizontal="center"/>
    </xf>
    <xf borderId="2" fillId="0" fontId="5" numFmtId="0" pivotButton="0" quotePrefix="0" xfId="0"/>
    <xf applyAlignment="1" borderId="0" fillId="0" fontId="6" numFmtId="0" pivotButton="0" quotePrefix="0" xfId="0">
      <alignment horizontal="center"/>
    </xf>
    <xf applyAlignment="1" borderId="0" fillId="0" fontId="7" numFmtId="0" pivotButton="0" quotePrefix="0" xfId="0">
      <alignment horizontal="center"/>
    </xf>
    <xf applyAlignment="1" borderId="0" fillId="0" fontId="7" numFmtId="9" pivotButton="0" quotePrefix="0" xfId="0">
      <alignment horizontal="center"/>
    </xf>
    <xf borderId="0" fillId="0" fontId="6" numFmtId="0" pivotButton="0" quotePrefix="0" xfId="0"/>
    <xf applyAlignment="1" borderId="0" fillId="0" fontId="6" numFmtId="9" pivotButton="0" quotePrefix="0" xfId="0">
      <alignment horizontal="center"/>
    </xf>
    <xf applyAlignment="1" borderId="0" fillId="0" fontId="6" numFmtId="9" pivotButton="0" quotePrefix="0" xfId="2">
      <alignment horizontal="center"/>
    </xf>
    <xf borderId="0" fillId="0" fontId="8" numFmtId="0" pivotButton="0" quotePrefix="0" xfId="0"/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 wrapText="1"/>
    </xf>
    <xf applyAlignment="1" borderId="1" fillId="0" fontId="5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wrapText="1"/>
    </xf>
    <xf applyAlignment="1" borderId="1" fillId="0" fontId="8" numFmtId="164" pivotButton="0" quotePrefix="0" xfId="1">
      <alignment horizontal="center"/>
    </xf>
    <xf applyAlignment="1" borderId="1" fillId="0" fontId="8" numFmtId="9" pivotButton="0" quotePrefix="0" xfId="2">
      <alignment horizontal="center"/>
    </xf>
    <xf applyAlignment="1" borderId="1" fillId="0" fontId="8" numFmtId="165" pivotButton="0" quotePrefix="0" xfId="1">
      <alignment horizontal="center"/>
    </xf>
    <xf borderId="0" fillId="4" fontId="0" numFmtId="0" pivotButton="0" quotePrefix="0" xfId="0"/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/>
    </xf>
    <xf applyAlignment="1" borderId="0" fillId="0" fontId="0" numFmtId="166" pivotButton="0" quotePrefix="0" xfId="0">
      <alignment horizontal="center"/>
    </xf>
    <xf applyAlignment="1" borderId="0" fillId="0" fontId="0" numFmtId="167" pivotButton="0" quotePrefix="0" xfId="0">
      <alignment horizontal="center"/>
    </xf>
    <xf borderId="0" fillId="0" fontId="4" numFmtId="0" pivotButton="0" quotePrefix="0" xfId="0"/>
    <xf applyAlignment="1" borderId="1" fillId="0" fontId="3" numFmtId="0" pivotButton="0" quotePrefix="0" xfId="0">
      <alignment horizontal="center" vertical="center"/>
    </xf>
    <xf applyAlignment="1" borderId="1" fillId="0" fontId="4" numFmtId="0" pivotButton="0" quotePrefix="0" xfId="1">
      <alignment horizontal="center"/>
    </xf>
    <xf applyAlignment="1" borderId="1" fillId="0" fontId="4" numFmtId="168" pivotButton="0" quotePrefix="0" xfId="2">
      <alignment horizontal="center"/>
    </xf>
    <xf borderId="1" fillId="0" fontId="0" numFmtId="164" pivotButton="0" quotePrefix="0" xfId="0"/>
    <xf applyAlignment="1" borderId="1" fillId="0" fontId="4" numFmtId="165" pivotButton="0" quotePrefix="0" xfId="1">
      <alignment horizontal="center"/>
    </xf>
    <xf borderId="1" fillId="0" fontId="0" numFmtId="164" pivotButton="0" quotePrefix="0" xfId="1"/>
    <xf applyAlignment="1" borderId="1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4" numFmtId="0" pivotButton="0" quotePrefix="0" xfId="0">
      <alignment horizontal="center" vertical="center" wrapText="1"/>
    </xf>
    <xf applyAlignment="1" borderId="1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8" numFmtId="164" pivotButton="0" quotePrefix="0" xfId="1">
      <alignment horizontal="center"/>
    </xf>
    <xf applyAlignment="1" borderId="1" fillId="0" fontId="8" numFmtId="165" pivotButton="0" quotePrefix="0" xfId="1">
      <alignment horizontal="center"/>
    </xf>
    <xf applyAlignment="1" borderId="0" fillId="0" fontId="0" numFmtId="166" pivotButton="0" quotePrefix="0" xfId="0">
      <alignment horizontal="center"/>
    </xf>
    <xf applyAlignment="1" borderId="0" fillId="0" fontId="0" numFmtId="167" pivotButton="0" quotePrefix="0" xfId="0">
      <alignment horizontal="center"/>
    </xf>
    <xf applyAlignment="1" borderId="1" fillId="0" fontId="4" numFmtId="168" pivotButton="0" quotePrefix="0" xfId="2">
      <alignment horizontal="center"/>
    </xf>
    <xf borderId="1" fillId="0" fontId="0" numFmtId="164" pivotButton="0" quotePrefix="0" xfId="0"/>
    <xf applyAlignment="1" borderId="1" fillId="0" fontId="4" numFmtId="165" pivotButton="0" quotePrefix="0" xfId="1">
      <alignment horizontal="center"/>
    </xf>
    <xf borderId="1" fillId="0" fontId="0" numFmtId="164" pivotButton="0" quotePrefix="0" xfId="1"/>
    <xf borderId="4" fillId="0" fontId="0" numFmtId="0" pivotButton="0" quotePrefix="0" xfId="0"/>
    <xf borderId="5" fillId="0" fontId="0" numFmtId="0" pivotButton="0" quotePrefix="0" xfId="0"/>
  </cellXfs>
  <cellStyles count="3">
    <cellStyle builtinId="0" name="常规" xfId="0"/>
    <cellStyle builtinId="4" name="货币" xfId="1"/>
    <cellStyle builtinId="5" name="百分比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20"/>
  <sheetViews>
    <sheetView tabSelected="1" workbookViewId="0">
      <selection activeCell="F8" sqref="F8"/>
    </sheetView>
  </sheetViews>
  <sheetFormatPr baseColWidth="10" defaultColWidth="8.83203125" defaultRowHeight="16"/>
  <cols>
    <col customWidth="1" max="1" min="1" width="2.5"/>
    <col customWidth="1" max="2" min="2" width="11.83203125"/>
    <col customWidth="1" max="3" min="3" width="12.6640625"/>
    <col customWidth="1" max="4" min="4" width="12"/>
    <col customWidth="1" max="5" min="5" width="11.5"/>
    <col customWidth="1" max="6" min="6" width="12.1640625"/>
    <col customWidth="1" max="7" min="7" width="11.5"/>
  </cols>
  <sheetData>
    <row r="1">
      <c r="A1" t="inlineStr">
        <is>
          <t>Product Pricing Worksheet</t>
        </is>
      </c>
      <c r="O1" t="inlineStr">
        <is>
          <t>Markup</t>
        </is>
      </c>
    </row>
    <row r="2">
      <c r="O2" t="inlineStr"/>
    </row>
    <row r="3">
      <c r="O3" t="inlineStr"/>
    </row>
    <row r="4">
      <c r="B4" s="4" t="inlineStr">
        <is>
          <t>Qty</t>
        </is>
      </c>
      <c r="C4" s="5" t="inlineStr">
        <is>
          <t>Discount</t>
        </is>
      </c>
      <c r="D4" s="6" t="inlineStr">
        <is>
          <t>Bulk Price</t>
        </is>
      </c>
      <c r="E4" s="6" t="n">
        <v>1</v>
      </c>
      <c r="F4" s="6" t="n">
        <v>0</v>
      </c>
      <c r="O4" t="inlineStr">
        <is>
          <t>N/A</t>
        </is>
      </c>
    </row>
    <row r="5">
      <c r="B5" s="7" t="n">
        <v>12</v>
      </c>
      <c r="C5" s="8" t="n">
        <v>0.5</v>
      </c>
      <c r="D5" s="9" t="n"/>
      <c r="E5" s="6" t="n">
        <v>12</v>
      </c>
      <c r="F5" s="10" t="n">
        <v>0.5</v>
      </c>
      <c r="O5" t="inlineStr">
        <is>
          <t>N/A</t>
        </is>
      </c>
    </row>
    <row r="6">
      <c r="B6" s="7" t="n">
        <v>84</v>
      </c>
      <c r="C6" s="8" t="n">
        <v>0.55</v>
      </c>
      <c r="D6" s="9" t="n"/>
      <c r="E6" s="6" t="n">
        <v>84</v>
      </c>
      <c r="F6" s="11" t="n">
        <v>0.55</v>
      </c>
      <c r="O6" t="inlineStr">
        <is>
          <t>-</t>
        </is>
      </c>
    </row>
    <row customHeight="1" ht="34" r="7">
      <c r="B7" s="12" t="n"/>
      <c r="C7" s="12" t="n"/>
      <c r="D7" s="12" t="n"/>
      <c r="E7" s="12" t="n"/>
      <c r="F7" s="12" t="n"/>
      <c r="J7" s="37" t="n"/>
    </row>
    <row r="8">
      <c r="B8" s="13" t="inlineStr">
        <is>
          <t>ITEM</t>
        </is>
      </c>
      <c r="C8" s="13" t="inlineStr">
        <is>
          <t>MSRP</t>
        </is>
      </c>
      <c r="D8" s="14" t="inlineStr">
        <is>
          <t>Qty
ò</t>
        </is>
      </c>
      <c r="E8" s="15" t="inlineStr">
        <is>
          <t>Bulk Price
markdown</t>
        </is>
      </c>
      <c r="F8" s="15" t="inlineStr">
        <is>
          <t>Bulk Price
price</t>
        </is>
      </c>
      <c r="O8" t="inlineStr">
        <is>
          <t>N/A</t>
        </is>
      </c>
    </row>
    <row r="9">
      <c r="B9" s="16" t="n"/>
      <c r="C9" s="38" t="n">
        <v>34.99</v>
      </c>
      <c r="D9" s="3" t="n">
        <v>96</v>
      </c>
      <c r="E9" s="18">
        <f>VLOOKUP(D8,$B$4:$C$5,2,TRUE)</f>
        <v/>
      </c>
      <c r="F9" s="39" t="n"/>
      <c r="O9" t="inlineStr"/>
    </row>
    <row customFormat="1" r="10" s="36">
      <c r="B10" s="20" t="n"/>
      <c r="C10" s="20" t="n"/>
      <c r="D10" s="20" t="n"/>
      <c r="E10" s="20" t="n"/>
      <c r="F10" s="20" t="n"/>
      <c r="O10" t="inlineStr">
        <is>
          <t>-</t>
        </is>
      </c>
    </row>
    <row customFormat="1" customHeight="1" ht="34" r="11" s="36">
      <c r="G11" s="36" t="inlineStr">
        <is>
          <t>Unit purchase options</t>
        </is>
      </c>
    </row>
    <row customFormat="1" r="12" s="36">
      <c r="B12" s="21" t="inlineStr">
        <is>
          <t>Color 
Logo</t>
        </is>
      </c>
      <c r="C12" s="21" t="inlineStr">
        <is>
          <t>Print Charge
Per Unit</t>
        </is>
      </c>
      <c r="D12" s="21" t="inlineStr">
        <is>
          <t>Print Charge
Per Box  12</t>
        </is>
      </c>
      <c r="E12" s="22" t="inlineStr">
        <is>
          <t>Setup</t>
        </is>
      </c>
      <c r="F12" s="21" t="inlineStr">
        <is>
          <t>Total 
Cost</t>
        </is>
      </c>
      <c r="G12" s="22" t="n">
        <v>12</v>
      </c>
      <c r="H12" s="22" t="n">
        <v>24</v>
      </c>
      <c r="I12" s="22" t="n">
        <v>36</v>
      </c>
      <c r="J12" s="22" t="n">
        <v>48</v>
      </c>
      <c r="K12" s="22" t="n">
        <v>60</v>
      </c>
      <c r="L12" s="22" t="n">
        <v>72</v>
      </c>
      <c r="M12" s="22" t="n">
        <v>84</v>
      </c>
      <c r="N12" s="22" t="n">
        <v>96</v>
      </c>
      <c r="O12" t="inlineStr">
        <is>
          <t>N/A</t>
        </is>
      </c>
    </row>
    <row customFormat="1" r="13" s="36">
      <c r="B13" s="36" t="n">
        <v>1</v>
      </c>
      <c r="C13" s="40" t="n">
        <v>0.5</v>
      </c>
      <c r="D13" s="40">
        <f>12*C12</f>
        <v/>
      </c>
      <c r="E13" s="41" t="n">
        <v>50</v>
      </c>
      <c r="F13" s="40">
        <f>E12+D12</f>
        <v/>
      </c>
      <c r="G13" s="40">
        <f>F12/$G$11</f>
        <v/>
      </c>
      <c r="H13" s="40">
        <f>F12/$H$11</f>
        <v/>
      </c>
      <c r="I13" s="40">
        <f>F12/$I$11</f>
        <v/>
      </c>
      <c r="J13" s="40">
        <f>F12/$J$11</f>
        <v/>
      </c>
      <c r="K13" s="40">
        <f>F12/$K$11</f>
        <v/>
      </c>
      <c r="L13" s="40">
        <f>F12/$L$11</f>
        <v/>
      </c>
      <c r="M13" s="40">
        <f>F12/$M$11</f>
        <v/>
      </c>
      <c r="N13" s="40">
        <f>F12/$N$11</f>
        <v/>
      </c>
    </row>
    <row customFormat="1" r="14" s="36">
      <c r="B14" s="36" t="n">
        <v>2</v>
      </c>
      <c r="C14" s="40" t="n">
        <v>0.65</v>
      </c>
      <c r="D14" s="40">
        <f>12*C13</f>
        <v/>
      </c>
      <c r="E14" s="41" t="n">
        <v>75</v>
      </c>
      <c r="F14" s="40">
        <f>E13+D13</f>
        <v/>
      </c>
      <c r="G14" s="40">
        <f>F13/$G$11</f>
        <v/>
      </c>
      <c r="H14" s="40">
        <f>F13/$H$11</f>
        <v/>
      </c>
      <c r="I14" s="40">
        <f>F13/$I$11</f>
        <v/>
      </c>
      <c r="J14" s="40">
        <f>F13/$J$11</f>
        <v/>
      </c>
      <c r="K14" s="40">
        <f>F13/$K$11</f>
        <v/>
      </c>
      <c r="L14" s="40">
        <f>F13/$L$11</f>
        <v/>
      </c>
      <c r="M14" s="40">
        <f>F13/$M$11</f>
        <v/>
      </c>
      <c r="N14" s="40">
        <f>F13/$N$11</f>
        <v/>
      </c>
      <c r="O14" t="inlineStr">
        <is>
          <t>N/A</t>
        </is>
      </c>
    </row>
    <row r="15">
      <c r="B15" s="36" t="n">
        <v>3</v>
      </c>
      <c r="C15" s="40" t="n">
        <v>0.85</v>
      </c>
      <c r="D15" s="40">
        <f>12*C14</f>
        <v/>
      </c>
      <c r="E15" s="36" t="n">
        <v>100</v>
      </c>
      <c r="F15" s="40">
        <f>E14+D14</f>
        <v/>
      </c>
      <c r="G15" s="40">
        <f>F14/$G$11</f>
        <v/>
      </c>
      <c r="H15" s="40">
        <f>F14/$H$11</f>
        <v/>
      </c>
      <c r="I15" s="40">
        <f>F14/$I$11</f>
        <v/>
      </c>
      <c r="J15" s="40">
        <f>F14/$J$11</f>
        <v/>
      </c>
      <c r="K15" s="40">
        <f>F14/$K$11</f>
        <v/>
      </c>
      <c r="L15" s="40">
        <f>F14/$L$11</f>
        <v/>
      </c>
      <c r="M15" s="40">
        <f>F14/$M$11</f>
        <v/>
      </c>
      <c r="N15" s="40">
        <f>F14/$N$11</f>
        <v/>
      </c>
      <c r="O15" t="inlineStr">
        <is>
          <t>-</t>
        </is>
      </c>
    </row>
    <row customHeight="1" ht="51" r="16">
      <c r="B16" s="25" t="n"/>
      <c r="C16" s="25" t="n"/>
      <c r="D16" s="25" t="n"/>
      <c r="E16" s="25" t="n"/>
      <c r="F16" s="25" t="n"/>
      <c r="O16" t="inlineStr">
        <is>
          <t>N/A</t>
        </is>
      </c>
    </row>
    <row r="17">
      <c r="B17" s="26" t="inlineStr">
        <is>
          <t>ITEM</t>
        </is>
      </c>
      <c r="C17" s="26" t="inlineStr">
        <is>
          <t>Colors</t>
        </is>
      </c>
      <c r="D17" s="14" t="inlineStr">
        <is>
          <t>Qty
ò</t>
        </is>
      </c>
      <c r="E17" s="14" t="inlineStr">
        <is>
          <t>Cost Per
Unit</t>
        </is>
      </c>
      <c r="F17" s="14" t="inlineStr">
        <is>
          <t>Cost Per
Order</t>
        </is>
      </c>
      <c r="G17" s="14" t="inlineStr">
        <is>
          <t>Formatting
Consult &amp;
Review</t>
        </is>
      </c>
      <c r="H17" s="26" t="inlineStr">
        <is>
          <t xml:space="preserve">Total </t>
        </is>
      </c>
    </row>
    <row r="18">
      <c r="B18" s="46" t="n"/>
      <c r="C18" s="27" t="n">
        <v>1</v>
      </c>
      <c r="D18" s="2" t="n">
        <v>48</v>
      </c>
      <c r="E18" s="42">
        <f>IF(D17="","",(VLOOKUP(C17,$B$12:$N$14,MATCH(D17,$B$11:$N$11),)))</f>
        <v/>
      </c>
      <c r="F18" s="43">
        <f>IF(D17="","",(D17*E17))</f>
        <v/>
      </c>
      <c r="G18" s="44" t="n">
        <v>75</v>
      </c>
      <c r="H18" s="45">
        <f>IF(F17="","",(F17+G17))</f>
        <v/>
      </c>
      <c r="O18" t="inlineStr"/>
    </row>
    <row r="19">
      <c r="B19" s="47" t="n"/>
      <c r="C19" s="32" t="n">
        <v>2</v>
      </c>
      <c r="D19" s="2" t="n">
        <v>48</v>
      </c>
      <c r="E19" s="42">
        <f>IF(D18="","",(VLOOKUP(C18,$B$12:$N$14,MATCH(D18,$B$11:$N$11),)))</f>
        <v/>
      </c>
      <c r="F19" s="43">
        <f>IF(D18="","",(D18*E18))</f>
        <v/>
      </c>
      <c r="G19" s="44" t="n">
        <v>75</v>
      </c>
      <c r="H19" s="45">
        <f>IF(F18="","",(F18+G18))</f>
        <v/>
      </c>
      <c r="O19" t="inlineStr">
        <is>
          <t>-</t>
        </is>
      </c>
    </row>
    <row r="20">
      <c r="B20" s="47" t="n"/>
      <c r="C20" s="32" t="n">
        <v>3</v>
      </c>
      <c r="D20" s="2" t="n">
        <v>48</v>
      </c>
      <c r="E20" s="42">
        <f>IF(D19="","",(VLOOKUP(C19,$B$12:$N$14,MATCH(D19,$B$11:$N$11),)))</f>
        <v/>
      </c>
      <c r="F20" s="43">
        <f>IF(D19="","",(D19*E19))</f>
        <v/>
      </c>
      <c r="G20" s="44" t="n">
        <v>75</v>
      </c>
      <c r="H20" s="45">
        <f>IF(F19="","",(F19+G19))</f>
        <v/>
      </c>
      <c r="O20" t="inlineStr">
        <is>
          <t>-</t>
        </is>
      </c>
    </row>
  </sheetData>
  <mergeCells count="2">
    <mergeCell ref="G10:N10"/>
    <mergeCell ref="B17:B19"/>
  </mergeCells>
  <dataValidations count="1">
    <dataValidation allowBlank="1" showDropDown="0" showErrorMessage="1" showInputMessage="1" sqref="D8 D17:D19" type="list">
      <formula1>"12,24,36,48,60,72,84,96,108,120,132,144,156,168,180,192,204,216,228,240,252,264,276,288,300,312,324,336,348,360,372,384,396,408,420,432,444,456,468,480,492"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Bohlender</dc:creator>
  <dcterms:created xsi:type="dcterms:W3CDTF">2021-02-20T02:13:38Z</dcterms:created>
  <dcterms:modified xsi:type="dcterms:W3CDTF">2026-05-02T06:33:12Z</dcterms:modified>
  <cp:lastModifiedBy>T T</cp:lastModifiedBy>
</cp:coreProperties>
</file>