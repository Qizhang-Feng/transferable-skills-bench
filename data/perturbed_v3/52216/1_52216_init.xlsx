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606" windowWidth="19406" xWindow="-103" yWindow="-103"/>
  </bookViews>
  <sheets>
    <sheet name="DATA" sheetId="1" state="visible" r:id="rId1"/>
    <sheet name="INPUTS" sheetId="2" state="visible" r:id="rId2"/>
    <sheet name="LOOKUP_TABLE" sheetId="3" state="visible" r:id="rId3"/>
    <sheet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&quot;$&quot;#,##0.00;[Red]\-&quot;$&quot;#,##0.00" numFmtId="164"/>
    <numFmt formatCode="_-&quot;$&quot;* #,##0.00_-;\-&quot;$&quot;* #,##0.00_-;_-&quot;$&quot;* &quot;-&quot;??_-;_-@_-" numFmtId="165"/>
    <numFmt formatCode="_-&quot;$&quot;* #,##0_-;\-&quot;$&quot;* #,##0_-;_-&quot;$&quot;* &quot;-&quot;_-;_-@_-" numFmtId="166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borderId="0" fillId="0" fontId="0" numFmtId="0"/>
  </cellStyleXfs>
  <cellXfs count="45">
    <xf borderId="0" fillId="0" fontId="0" numFmtId="0" pivotButton="0" quotePrefix="0" xfId="0"/>
    <xf borderId="0" fillId="2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2" fontId="2" numFmtId="0" pivotButton="0" quotePrefix="0" xfId="0">
      <alignment horizontal="center" vertical="center" wrapText="1"/>
    </xf>
    <xf applyAlignment="1" borderId="0" fillId="2" fontId="0" numFmtId="0" pivotButton="0" quotePrefix="0" xfId="0">
      <alignment horizontal="center" wrapText="1"/>
    </xf>
    <xf borderId="0" fillId="2" fontId="2" numFmtId="0" pivotButton="0" quotePrefix="0" xfId="0"/>
    <xf borderId="0" fillId="2" fontId="0" numFmtId="164" pivotButton="0" quotePrefix="0" xfId="0"/>
    <xf borderId="0" fillId="2" fontId="3" numFmtId="0" pivotButton="0" quotePrefix="0" xfId="0"/>
    <xf borderId="0" fillId="2" fontId="0" numFmtId="165" pivotButton="0" quotePrefix="0" xfId="0"/>
    <xf borderId="1" fillId="2" fontId="3" numFmtId="0" pivotButton="0" quotePrefix="0" xfId="0"/>
    <xf borderId="1" fillId="2" fontId="0" numFmtId="165" pivotButton="0" quotePrefix="0" xfId="0"/>
    <xf borderId="2" fillId="3" fontId="4" numFmtId="0" pivotButton="0" quotePrefix="0" xfId="0"/>
    <xf applyAlignment="1" borderId="3" fillId="3" fontId="5" numFmtId="0" pivotButton="0" quotePrefix="0" xfId="0">
      <alignment horizontal="center"/>
    </xf>
    <xf borderId="4" fillId="2" fontId="2" numFmtId="0" pivotButton="0" quotePrefix="0" xfId="0"/>
    <xf applyAlignment="1" borderId="0" fillId="4" fontId="2" numFmtId="166" pivotButton="0" quotePrefix="0" xfId="0">
      <alignment vertical="center"/>
    </xf>
    <xf borderId="0" fillId="4" fontId="2" numFmtId="166" pivotButton="0" quotePrefix="0" xfId="0"/>
    <xf borderId="4" fillId="2" fontId="0" numFmtId="0" pivotButton="0" quotePrefix="0" xfId="0"/>
    <xf borderId="0" fillId="4" fontId="0" numFmtId="9" pivotButton="0" quotePrefix="0" xfId="0"/>
    <xf borderId="5" fillId="2" fontId="0" numFmtId="0" pivotButton="0" quotePrefix="0" xfId="0"/>
    <xf borderId="6" fillId="4" fontId="0" numFmtId="9" pivotButton="0" quotePrefix="0" xfId="0"/>
    <xf borderId="7" fillId="2" fontId="2" numFmtId="0" pivotButton="0" quotePrefix="0" xfId="0"/>
    <xf borderId="8" fillId="4" fontId="2" numFmtId="166" pivotButton="0" quotePrefix="0" xfId="0"/>
    <xf borderId="8" fillId="4" fontId="2" numFmtId="165" pivotButton="0" quotePrefix="0" xfId="0"/>
    <xf borderId="8" fillId="4" fontId="0" numFmtId="166" pivotButton="0" quotePrefix="0" xfId="0"/>
    <xf borderId="0" fillId="4" fontId="0" numFmtId="166" pivotButton="0" quotePrefix="0" xfId="0"/>
    <xf borderId="9" fillId="2" fontId="2" numFmtId="0" pivotButton="0" quotePrefix="0" xfId="0"/>
    <xf borderId="3" fillId="4" fontId="2" numFmtId="166" pivotButton="0" quotePrefix="0" xfId="0"/>
    <xf borderId="10" fillId="3" fontId="4" numFmtId="0" pivotButton="0" quotePrefix="0" xfId="0"/>
    <xf borderId="0" fillId="3" fontId="6" numFmtId="0" pivotButton="0" quotePrefix="0" xfId="0"/>
    <xf borderId="4" fillId="5" fontId="0" numFmtId="0" pivotButton="0" quotePrefix="0" xfId="0"/>
    <xf applyAlignment="1" borderId="9" fillId="3" fontId="5" numFmtId="0" pivotButton="0" quotePrefix="0" xfId="0">
      <alignment horizontal="center"/>
    </xf>
    <xf borderId="0" fillId="2" fontId="0" numFmtId="10" pivotButton="0" quotePrefix="0" xfId="0"/>
    <xf borderId="0" fillId="2" fontId="0" numFmtId="3" pivotButton="0" quotePrefix="0" xfId="0"/>
    <xf borderId="0" fillId="2" fontId="0" numFmtId="9" pivotButton="0" quotePrefix="0" xfId="0"/>
    <xf applyAlignment="1" borderId="0" fillId="2" fontId="2" numFmtId="0" pivotButton="0" quotePrefix="0" xfId="0">
      <alignment horizontal="center"/>
    </xf>
    <xf borderId="0" fillId="2" fontId="0" numFmtId="165" pivotButton="0" quotePrefix="0" xfId="0"/>
    <xf applyAlignment="1" borderId="0" fillId="4" fontId="2" numFmtId="166" pivotButton="0" quotePrefix="0" xfId="0">
      <alignment vertical="center"/>
    </xf>
    <xf borderId="0" fillId="4" fontId="2" numFmtId="166" pivotButton="0" quotePrefix="0" xfId="0"/>
    <xf borderId="8" fillId="4" fontId="2" numFmtId="166" pivotButton="0" quotePrefix="0" xfId="0"/>
    <xf borderId="8" fillId="4" fontId="2" numFmtId="165" pivotButton="0" quotePrefix="0" xfId="0"/>
    <xf borderId="8" fillId="4" fontId="0" numFmtId="166" pivotButton="0" quotePrefix="0" xfId="0"/>
    <xf borderId="0" fillId="4" fontId="0" numFmtId="166" pivotButton="0" quotePrefix="0" xfId="0"/>
    <xf borderId="3" fillId="4" fontId="2" numFmtId="166" pivotButton="0" quotePrefix="0" xfId="0"/>
    <xf borderId="0" fillId="2" fontId="0" numFmtId="164" pivotButton="0" quotePrefix="0" xfId="0"/>
    <xf borderId="1" fillId="2" fontId="0" numFmtId="165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customWidth="1" max="1" min="1" style="1" width="34.42578125"/>
    <col customWidth="1" max="2" min="2" style="1" width="12.140625"/>
    <col customWidth="1" max="16384" min="3" style="1" width="8.640625"/>
  </cols>
  <sheetData>
    <row r="3">
      <c r="A3" s="1" t="inlineStr">
        <is>
          <t>ASSUMPTIONS:</t>
        </is>
      </c>
    </row>
    <row r="4">
      <c r="A4" s="1" t="inlineStr">
        <is>
          <t>Annual Asking Rent (Per 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bottom="0.75" footer="0.3" header="0.3" left="0.7" right="0.7" top="0.75"/>
  <pageSetup horizontalDpi="1200" orientation="portrait" paperSize="9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customWidth="1" max="1" min="1" style="1" width="30.140625"/>
    <col customWidth="1" max="2" min="2" style="1" width="8.640625"/>
    <col customWidth="1" max="3" min="3" style="1" width="11"/>
    <col customWidth="1" max="12" min="4" style="1" width="13.640625"/>
    <col customWidth="1" max="16384" min="13" style="1" width="8.640625"/>
  </cols>
  <sheetData>
    <row r="2">
      <c r="B2" s="34" t="inlineStr">
        <is>
          <t>YEAR</t>
        </is>
      </c>
    </row>
    <row customHeight="1" ht="18" r="3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(Total)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customHeight="1" ht="18" r="13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>
        <f>_xlfn.IFNA(INDEX(LOOKUP_TABLE!C3:G20,MATCH(INPUTS!A14,LOOKUP_TABLE!A3:A20,0),MATCH(INPUTS!C3,LOOKUP_TABLE!C1:G1,0)),0)</f>
        <v/>
      </c>
      <c r="D15" s="35">
        <f>_xlfn.IFNA(INDEX(LOOKUP_TABLE!C3:G20,MATCH(INPUTS!A14,LOOKUP_TABLE!A3:A20,0),MATCH(INPUTS!D3,LOOKUP_TABLE!C1:G1,0)),0)</f>
        <v/>
      </c>
      <c r="E15" s="35">
        <f>_xlfn.IFNA(INDEX(LOOKUP_TABLE!C3:G20,MATCH(INPUTS!A14,LOOKUP_TABLE!A3:A20,0),MATCH(INPUTS!E3,LOOKUP_TABLE!C1:G1,0)),0)</f>
        <v/>
      </c>
      <c r="F15" s="35">
        <f>_xlfn.IFNA(INDEX(LOOKUP_TABLE!C3:G20,MATCH(INPUTS!A14,LOOKUP_TABLE!A3:A20,0),MATCH(INPUTS!F3,LOOKUP_TABLE!C1:G1,0)),0)</f>
        <v/>
      </c>
      <c r="G15" s="35">
        <f>_xlfn.IFNA(INDEX(LOOKUP_TABLE!C3:G20,MATCH(INPUTS!A14,LOOKUP_TABLE!A3:A20,0),MATCH(INPUTS!G3,LOOKUP_TABLE!C1:G1,0)),0)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_xlfn.IFNA(INDEX(LOOKUP_TABLE!C3:G20,MATCH(INPUTS!A14,LOOKUP_TABLE!A3:A20,0),MATCH(INPUTS!C3,LOOKUP_TABLE!C1:G1,0)),0)</f>
        <v/>
      </c>
      <c r="D16" s="35">
        <f>_xlfn.IFNA(INDEX(LOOKUP_TABLE!D3:H20,MATCH(INPUTS!B14,LOOKUP_TABLE!B3:B20,0),MATCH(INPUTS!D3,LOOKUP_TABLE!D1:H1,0)),0)</f>
        <v/>
      </c>
      <c r="E16" s="35">
        <f>_xlfn.IFNA(INDEX(LOOKUP_TABLE!E3:I20,MATCH(INPUTS!C14,LOOKUP_TABLE!C3:C20,0),MATCH(INPUTS!E3,LOOKUP_TABLE!E1:I1,0)),0)</f>
        <v/>
      </c>
      <c r="F16" s="35">
        <f>_xlfn.IFNA(INDEX(LOOKUP_TABLE!F3:J20,MATCH(INPUTS!D14,LOOKUP_TABLE!D3:D20,0),MATCH(INPUTS!F3,LOOKUP_TABLE!F1:J1,0)),0)</f>
        <v/>
      </c>
      <c r="G16" s="35">
        <f>_xlfn.IFNA(INDEX(LOOKUP_TABLE!G3:K20,MATCH(INPUTS!E14,LOOKUP_TABLE!E3:E20,0),MATCH(INPUTS!G3,LOOKUP_TABLE!G1:K1,0)),0)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bottom="0.75" footer="0.3" header="0.3" left="0.7" right="0.7" top="0.75"/>
  <pageSetup horizontalDpi="1200" orientation="portrait" paperSize="9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G20" sqref="G20"/>
    </sheetView>
  </sheetViews>
  <sheetFormatPr baseColWidth="8" defaultColWidth="8.640625" defaultRowHeight="14.15"/>
  <cols>
    <col customWidth="1" max="1" min="1" style="1" width="8.640625"/>
    <col customWidth="1" max="2" min="2" style="1" width="21.140625"/>
    <col customWidth="1" max="8" min="3" style="1" width="8.640625"/>
    <col customWidth="1" max="9" min="9" style="1" width="21.140625"/>
    <col customWidth="1" max="16384" min="10" style="1" width="8.640625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/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  <c r="H3" t="inlineStr">
        <is>
          <t>Adjustment Factor</t>
        </is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  <c r="H4" t="inlineStr">
        <is>
          <t>N/A</t>
        </is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  <c r="H5" t="inlineStr"/>
    </row>
    <row r="6">
      <c r="A6" s="1" t="inlineStr">
        <is>
          <t>Regional</t>
        </is>
      </c>
      <c r="B6" s="1" t="inlineStr">
        <is>
          <t>Land Tax</t>
        </is>
      </c>
      <c r="H6" t="inlineStr"/>
    </row>
    <row r="7">
      <c r="A7" s="1" t="inlineStr">
        <is>
          <t>Regional</t>
        </is>
      </c>
      <c r="B7" s="1" t="inlineStr">
        <is>
          <t>Printing &amp; Postage</t>
        </is>
      </c>
      <c r="H7" t="inlineStr">
        <is>
          <t>-</t>
        </is>
      </c>
    </row>
    <row r="8">
      <c r="A8" s="1" t="inlineStr">
        <is>
          <t>Regional</t>
        </is>
      </c>
      <c r="B8" s="1" t="inlineStr">
        <is>
          <t>Rates</t>
        </is>
      </c>
      <c r="H8" t="inlineStr"/>
    </row>
    <row r="9">
      <c r="A9" s="1" t="inlineStr">
        <is>
          <t>Regional</t>
        </is>
      </c>
      <c r="B9" s="1" t="inlineStr">
        <is>
          <t>R&amp;M</t>
        </is>
      </c>
      <c r="H9" t="inlineStr">
        <is>
          <t>N/A</t>
        </is>
      </c>
    </row>
    <row r="10">
      <c r="A10" s="1" t="inlineStr">
        <is>
          <t>Regional</t>
        </is>
      </c>
      <c r="B10" s="1" t="inlineStr">
        <is>
          <t>Salaries &amp; Wages</t>
        </is>
      </c>
      <c r="H10" t="inlineStr"/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  <c r="H12" t="inlineStr">
        <is>
          <t>-</t>
        </is>
      </c>
    </row>
    <row r="13">
      <c r="A13" s="1" t="inlineStr">
        <is>
          <t>Metro</t>
        </is>
      </c>
      <c r="B13" s="1" t="inlineStr">
        <is>
          <t>Electricity</t>
        </is>
      </c>
      <c r="H13" t="inlineStr">
        <is>
          <t>-</t>
        </is>
      </c>
    </row>
    <row r="14">
      <c r="A14" s="1" t="inlineStr">
        <is>
          <t>Metro</t>
        </is>
      </c>
      <c r="B14" s="1" t="inlineStr">
        <is>
          <t>Insurance</t>
        </is>
      </c>
      <c r="H14" t="inlineStr">
        <is>
          <t>N/A</t>
        </is>
      </c>
    </row>
    <row r="15">
      <c r="A15" s="1" t="inlineStr">
        <is>
          <t>Metro</t>
        </is>
      </c>
      <c r="B15" s="1" t="inlineStr">
        <is>
          <t>Land Tax</t>
        </is>
      </c>
      <c r="H15" t="inlineStr">
        <is>
          <t>N/A</t>
        </is>
      </c>
    </row>
    <row r="16">
      <c r="A16" s="1" t="inlineStr">
        <is>
          <t>Metro</t>
        </is>
      </c>
      <c r="B16" s="1" t="inlineStr">
        <is>
          <t>Printing &amp; Postage</t>
        </is>
      </c>
      <c r="H16" t="inlineStr">
        <is>
          <t>-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  <c r="H18" t="inlineStr">
        <is>
          <t>N/A</t>
        </is>
      </c>
    </row>
    <row r="19">
      <c r="A19" s="1" t="inlineStr">
        <is>
          <t>Metro</t>
        </is>
      </c>
      <c r="B19" s="1" t="inlineStr">
        <is>
          <t>Salaries &amp; Wages</t>
        </is>
      </c>
      <c r="H19" t="inlineStr">
        <is>
          <t>N/A</t>
        </is>
      </c>
    </row>
    <row r="20">
      <c r="A20" s="1" t="inlineStr">
        <is>
          <t>Metro</t>
        </is>
      </c>
      <c r="B20" s="1" t="inlineStr">
        <is>
          <t>Telco</t>
        </is>
      </c>
      <c r="H20" t="inlineStr">
        <is>
          <t>N/A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customWidth="1" max="1" min="1" style="1" width="22"/>
    <col customWidth="1" max="2" min="2" style="1" width="11.85546875"/>
    <col customWidth="1" max="6" min="3" style="1" width="12.35546875"/>
    <col customWidth="1" max="16384" min="7" style="1" width="8.640625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customHeight="1" ht="42.45" r="3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Smith</dc:creator>
  <dcterms:created xsi:type="dcterms:W3CDTF">2021-07-27T07:57:00Z</dcterms:created>
  <dcterms:modified xsi:type="dcterms:W3CDTF">2026-05-02T07:40:35Z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9A68B28BA45A4BA08B900DDAA2CC8410_13</vt:lpwstr>
  </property>
  <property fmtid="{D5CDD505-2E9C-101B-9397-08002B2CF9AE}" name="KSOProductBuildVer" pid="3">
    <vt:lpwstr>2052-12.1.0.16729</vt:lpwstr>
  </property>
</Properties>
</file>