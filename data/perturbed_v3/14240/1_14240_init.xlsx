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-28905" yWindow="-16440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4">
    <xf borderId="0" fillId="0" fontId="0" numFmtId="0" pivotButton="0" quotePrefix="0" xfId="0"/>
    <xf borderId="1" fillId="2" fontId="0" numFmtId="0" pivotButton="0" quotePrefix="0" xfId="0"/>
    <xf applyAlignment="1" borderId="1" fillId="0" fontId="1" numFmtId="0" pivotButton="0" quotePrefix="0" xfId="0">
      <alignment horizontal="center"/>
    </xf>
    <xf applyAlignment="1" borderId="1" fillId="0" fontId="1" numFmtId="0" pivotButton="0" quotePrefix="0" xfId="0">
      <alignment horizontal="left"/>
    </xf>
    <xf applyAlignment="1" borderId="1" fillId="0" fontId="2" numFmtId="0" pivotButton="0" quotePrefix="0" xfId="0">
      <alignment horizontal="center" vertical="center"/>
    </xf>
    <xf applyAlignment="1" borderId="1" fillId="0" fontId="3" numFmtId="0" pivotButton="0" quotePrefix="0" xfId="0">
      <alignment horizontal="center"/>
    </xf>
    <xf applyAlignment="1" borderId="1" fillId="0" fontId="4" numFmtId="0" pivotButton="0" quotePrefix="0" xfId="0">
      <alignment horizontal="center"/>
    </xf>
    <xf applyAlignment="1" borderId="1" fillId="0" fontId="5" numFmtId="3" pivotButton="0" quotePrefix="0" xfId="0">
      <alignment horizontal="center" vertical="center"/>
    </xf>
    <xf borderId="1" fillId="0" fontId="0" numFmtId="0" pivotButton="0" quotePrefix="0" xfId="0"/>
    <xf applyAlignment="1" borderId="1" fillId="0" fontId="0" numFmtId="0" pivotButton="0" quotePrefix="0" xfId="0">
      <alignment horizontal="left"/>
    </xf>
    <xf applyAlignment="1" borderId="0" fillId="0" fontId="5" numFmtId="3" pivotButton="0" quotePrefix="0" xfId="0">
      <alignment horizontal="center" vertical="center"/>
    </xf>
    <xf applyAlignment="1" borderId="1" fillId="0" fontId="6" numFmtId="0" pivotButton="0" quotePrefix="0" xfId="0">
      <alignment horizontal="center"/>
    </xf>
    <xf applyAlignment="1" borderId="1" fillId="2" fontId="6" numFmtId="0" pivotButton="0" quotePrefix="0" xfId="0">
      <alignment horizontal="center"/>
    </xf>
    <xf applyAlignment="1" borderId="1" fillId="0" fontId="5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F:\Insurepro%20Software\Software-25-08-14\Mediclaim%20Calculator-06-10-2014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refreshError="1" sheetId="0"/>
      <sheetData refreshError="1" sheetId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tabSelected="1" workbookViewId="0">
      <selection activeCell="V4" sqref="V4"/>
    </sheetView>
  </sheetViews>
  <sheetFormatPr baseColWidth="8" defaultColWidth="8.81640625" defaultRowHeight="14.5"/>
  <cols>
    <col customWidth="1" max="1" min="1" width="20.6328125"/>
    <col customWidth="1" max="18" min="18" width="9.1796875"/>
    <col customWidth="1" max="19" min="19" width="12"/>
  </cols>
  <sheetData>
    <row r="1">
      <c r="U1" s="1">
        <f>SUMPRODUCT(($A$4:$A$75=$S$4)*($B$4:$B$75=$U$3)*($C$3:$P$3=$T$4),$C$4:$P$75)</f>
        <v/>
      </c>
    </row>
    <row r="2"/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Plan Type</t>
        </is>
      </c>
      <c r="S3" s="5" t="inlineStr">
        <is>
          <t>Dependents</t>
        </is>
      </c>
      <c r="T3" s="6" t="inlineStr">
        <is>
          <t>Coverage Amount</t>
        </is>
      </c>
      <c r="V3" t="inlineStr">
        <is>
          <t>Premium Rate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>
        <f>SUMPRODUCT((A4:A75=R4)*(B4:B75=S4)*C3:M3,C4:M75=T4)</f>
        <v/>
      </c>
      <c r="V4" t="inlineStr"/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>
        <f>SUMPRODUCT(($A$4:$A$75=$S5)*($B$4:$B$75=U$3)*($C$3:$P$3=$T5),$C$4:$P$75)</f>
        <v/>
      </c>
      <c r="V5" t="inlineStr">
        <is>
          <t>N/A</t>
        </is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>
        <f>SUMPRODUCT(($A$4:$A$75=$S6)*($B$4:$B$75=U$3)*($C$3:$P$3=$T6),$C$4:$P$75)</f>
        <v/>
      </c>
      <c r="V6" t="inlineStr">
        <is>
          <t>-</t>
        </is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>
        <f>SUMPRODUCT(($A$4:$A$75=$S7)*($B$4:$B$75=U$3)*($C$3:$P$3=$T7),$C$4:$P$75)</f>
        <v/>
      </c>
      <c r="V7" t="inlineStr">
        <is>
          <t>-</t>
        </is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>
        <f>SUMPRODUCT(($A$4:$A$75=$S8)*($B$4:$B$75=U$3)*($C$3:$P$3=$T8),$C$4:$P$75)</f>
        <v/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>
        <f>SUMPRODUCT(($A$4:$A$75=$S9)*($B$4:$B$75=U$3)*($C$3:$P$3=$T9),$C$4:$P$75)</f>
        <v/>
      </c>
      <c r="V9" t="inlineStr">
        <is>
          <t>-</t>
        </is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>
        <f>SUMPRODUCT(($A$4:$A$75=$S10)*($B$4:$B$75=U$3)*($C$3:$P$3=$T10),$C$4:$P$75)</f>
        <v/>
      </c>
      <c r="V10" t="inlineStr">
        <is>
          <t>-</t>
        </is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>
        <f>SUMPRODUCT(($A$4:$A$75=$S11)*($B$4:$B$75=U$3)*($C$3:$P$3=$T11),$C$4:$P$75)</f>
        <v/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>
        <f>SUMPRODUCT(($A$4:$A$75=$S12)*($B$4:$B$75=U$3)*($C$3:$P$3=$T12),$C$4:$P$75)</f>
        <v/>
      </c>
      <c r="V12" t="inlineStr">
        <is>
          <t>N/A</t>
        </is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>
        <f>SUMPRODUCT(($A$4:$A$75=$S13)*($B$4:$B$75=U$3)*($C$3:$P$3=$T13),$C$4:$P$75)</f>
        <v/>
      </c>
      <c r="V13" t="inlineStr"/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>
        <f>SUMPRODUCT(($A$4:$A$75=$S14)*($B$4:$B$75=U$3)*($C$3:$P$3=$T14),$C$4:$P$75)</f>
        <v/>
      </c>
      <c r="V14" t="inlineStr">
        <is>
          <t>-</t>
        </is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>
        <f>SUMPRODUCT(($A$4:$A$75=$S15)*($B$4:$B$75=U$3)*($C$3:$P$3=$T15),$C$4:$P$75)</f>
        <v/>
      </c>
      <c r="V15" t="inlineStr">
        <is>
          <t>-</t>
        </is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>
        <f>SUMPRODUCT(($A$4:$A$75=$S16)*($B$4:$B$75=U$3)*($C$3:$P$3=$T16),$C$4:$P$75)</f>
        <v/>
      </c>
      <c r="V16" t="inlineStr">
        <is>
          <t>N/A</t>
        </is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>
        <f>SUMPRODUCT(($A$4:$A$75=$S17)*($B$4:$B$75=U$3)*($C$3:$P$3=$T17),$C$4:$P$75)</f>
        <v/>
      </c>
      <c r="V17" t="inlineStr">
        <is>
          <t>N/A</t>
        </is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>
        <f>SUMPRODUCT(($A$4:$A$75=$S18)*($B$4:$B$75=U$3)*($C$3:$P$3=$T18),$C$4:$P$75)</f>
        <v/>
      </c>
      <c r="V18" t="inlineStr"/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>
        <f>SUMPRODUCT(($A$4:$A$75=$S19)*($B$4:$B$75=U$3)*($C$3:$P$3=$T19),$C$4:$P$75)</f>
        <v/>
      </c>
      <c r="V19" t="inlineStr"/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>
        <f>SUMPRODUCT(($A$4:$A$75=$S20)*($B$4:$B$75=U$3)*($C$3:$P$3=$T20),$C$4:$P$75)</f>
        <v/>
      </c>
      <c r="V20" t="inlineStr">
        <is>
          <t>-</t>
        </is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>
        <f>SUMPRODUCT(($A$4:$A$75=$S21)*($B$4:$B$75=U$3)*($C$3:$P$3=$T21),$C$4:$P$75)</f>
        <v/>
      </c>
      <c r="V21" t="inlineStr">
        <is>
          <t>N/A</t>
        </is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>
        <f>SUMPRODUCT(($A$4:$A$75=$S22)*($B$4:$B$75=U$3)*($C$3:$P$3=$T22),$C$4:$P$75)</f>
        <v/>
      </c>
      <c r="V22" t="inlineStr">
        <is>
          <t>-</t>
        </is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>
        <f>SUMPRODUCT(($A$4:$A$75=$S23)*($B$4:$B$75=U$3)*($C$3:$P$3=$T23),$C$4:$P$75)</f>
        <v/>
      </c>
      <c r="V23" t="inlineStr"/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>
        <f>SUMPRODUCT(($A$4:$A$75=$S24)*($B$4:$B$75=U$3)*($C$3:$P$3=$T24),$C$4:$P$75)</f>
        <v/>
      </c>
      <c r="V24" t="inlineStr"/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>
        <f>SUMPRODUCT(($A$4:$A$75=$S25)*($B$4:$B$75=U$3)*($C$3:$P$3=$T25),$C$4:$P$75)</f>
        <v/>
      </c>
      <c r="V25" t="inlineStr"/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>
        <f>SUMPRODUCT(($A$4:$A$75=$S26)*($B$4:$B$75=U$3)*($C$3:$P$3=$T26),$C$4:$P$75)</f>
        <v/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>
        <f>SUMPRODUCT(($A$4:$A$75=$S27)*($B$4:$B$75=U$3)*($C$3:$P$3=$T27),$C$4:$P$75)</f>
        <v/>
      </c>
      <c r="V27" t="inlineStr"/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>
        <f>SUMPRODUCT(($A$4:$A$75=$S28)*($B$4:$B$75=U$3)*($C$3:$P$3=$T28),$C$4:$P$75)</f>
        <v/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>
        <f>SUMPRODUCT(($A$4:$A$75=$S29)*($B$4:$B$75=U$3)*($C$3:$P$3=$T29),$C$4:$P$75)</f>
        <v/>
      </c>
      <c r="V29" t="inlineStr">
        <is>
          <t>N/A</t>
        </is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>
        <f>SUMPRODUCT(($A$4:$A$75=$S30)*($B$4:$B$75=U$3)*($C$3:$P$3=$T30),$C$4:$P$75)</f>
        <v/>
      </c>
      <c r="V30" t="inlineStr"/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>
        <f>SUMPRODUCT(($A$4:$A$75=$S31)*($B$4:$B$75=U$3)*($C$3:$P$3=$T31),$C$4:$P$75)</f>
        <v/>
      </c>
      <c r="V31" t="inlineStr">
        <is>
          <t>-</t>
        </is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>
        <f>SUMPRODUCT(($A$4:$A$75=$S32)*($B$4:$B$75=U$3)*($C$3:$P$3=$T32),$C$4:$P$75)</f>
        <v/>
      </c>
      <c r="V32" t="inlineStr"/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>
        <f>SUMPRODUCT(($A$4:$A$75=$S33)*($B$4:$B$75=U$3)*($C$3:$P$3=$T33),$C$4:$P$75)</f>
        <v/>
      </c>
      <c r="V33" t="inlineStr">
        <is>
          <t>N/A</t>
        </is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>
        <f>SUMPRODUCT(($A$4:$A$75=$S34)*($B$4:$B$75=U$3)*($C$3:$P$3=$T34),$C$4:$P$75)</f>
        <v/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>
        <f>SUMPRODUCT(($A$4:$A$75=$S35)*($B$4:$B$75=U$3)*($C$3:$P$3=$T35),$C$4:$P$75)</f>
        <v/>
      </c>
      <c r="V35" t="inlineStr"/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>
        <f>SUMPRODUCT(($A$4:$A$75=$S36)*($B$4:$B$75=U$3)*($C$3:$P$3=$T36),$C$4:$P$75)</f>
        <v/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>
        <f>SUMPRODUCT(($A$4:$A$75=$S37)*($B$4:$B$75=U$3)*($C$3:$P$3=$T37),$C$4:$P$75)</f>
        <v/>
      </c>
      <c r="V37" t="inlineStr">
        <is>
          <t>N/A</t>
        </is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>
        <f>SUMPRODUCT(($A$4:$A$75=$S38)*($B$4:$B$75=U$3)*($C$3:$P$3=$T38),$C$4:$P$75)</f>
        <v/>
      </c>
      <c r="V38" t="inlineStr">
        <is>
          <t>-</t>
        </is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>
        <f>SUMPRODUCT(($A$4:$A$75=$S39)*($B$4:$B$75=U$3)*($C$3:$P$3=$T39),$C$4:$P$75)</f>
        <v/>
      </c>
      <c r="V39" t="inlineStr">
        <is>
          <t>N/A</t>
        </is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>
        <f>SUMPRODUCT(($A$4:$A$75=$S40)*($B$4:$B$75=U$3)*($C$3:$P$3=$T40),$C$4:$P$75)</f>
        <v/>
      </c>
      <c r="V40" t="inlineStr">
        <is>
          <t>N/A</t>
        </is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>
        <f>SUMPRODUCT(($A$4:$A$75=$S41)*($B$4:$B$75=U$3)*($C$3:$P$3=$T41),$C$4:$P$75)</f>
        <v/>
      </c>
      <c r="V41" t="inlineStr">
        <is>
          <t>-</t>
        </is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>
        <f>SUMPRODUCT(($A$4:$A$75=$S42)*($B$4:$B$75=U$3)*($C$3:$P$3=$T42),$C$4:$P$75)</f>
        <v/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>
        <f>SUMPRODUCT(($A$4:$A$75=$S43)*($B$4:$B$75=U$3)*($C$3:$P$3=$T43),$C$4:$P$75)</f>
        <v/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>
        <f>SUMPRODUCT(($A$4:$A$75=$S44)*($B$4:$B$75=U$3)*($C$3:$P$3=$T44),$C$4:$P$75)</f>
        <v/>
      </c>
      <c r="V44" t="inlineStr">
        <is>
          <t>-</t>
        </is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>
        <f>SUMPRODUCT(($A$4:$A$75=$S45)*($B$4:$B$75=U$3)*($C$3:$P$3=$T45),$C$4:$P$75)</f>
        <v/>
      </c>
      <c r="V45" t="inlineStr">
        <is>
          <t>N/A</t>
        </is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>
        <f>SUMPRODUCT(($A$4:$A$75=$S46)*($B$4:$B$75=U$3)*($C$3:$P$3=$T46),$C$4:$P$75)</f>
        <v/>
      </c>
      <c r="V46" t="inlineStr"/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>
        <f>SUMPRODUCT(($A$4:$A$75=$S47)*($B$4:$B$75=U$3)*($C$3:$P$3=$T47),$C$4:$P$75)</f>
        <v/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>
        <f>SUMPRODUCT(($A$4:$A$75=$S48)*($B$4:$B$75=U$3)*($C$3:$P$3=$T48),$C$4:$P$75)</f>
        <v/>
      </c>
      <c r="V48" t="inlineStr">
        <is>
          <t>-</t>
        </is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>
        <f>SUMPRODUCT(($A$4:$A$75=$S49)*($B$4:$B$75=U$3)*($C$3:$P$3=$T49),$C$4:$P$75)</f>
        <v/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>
        <f>SUMPRODUCT(($A$4:$A$75=$S50)*($B$4:$B$75=U$3)*($C$3:$P$3=$T50),$C$4:$P$75)</f>
        <v/>
      </c>
      <c r="V50" t="inlineStr">
        <is>
          <t>-</t>
        </is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>
        <f>SUMPRODUCT(($A$4:$A$75=$S51)*($B$4:$B$75=U$3)*($C$3:$P$3=$T51),$C$4:$P$75)</f>
        <v/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>
        <f>SUMPRODUCT(($A$4:$A$75=$S52)*($B$4:$B$75=U$3)*($C$3:$P$3=$T52),$C$4:$P$75)</f>
        <v/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>
        <f>SUMPRODUCT(($A$4:$A$75=$S53)*($B$4:$B$75=U$3)*($C$3:$P$3=$T53),$C$4:$P$75)</f>
        <v/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>
        <f>SUMPRODUCT(($A$4:$A$75=$S54)*($B$4:$B$75=U$3)*($C$3:$P$3=$T54),$C$4:$P$75)</f>
        <v/>
      </c>
      <c r="V54" t="inlineStr">
        <is>
          <t>N/A</t>
        </is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>
        <f>SUMPRODUCT(($A$4:$A$75=$S55)*($B$4:$B$75=U$3)*($C$3:$P$3=$T55),$C$4:$P$75)</f>
        <v/>
      </c>
      <c r="V55" t="inlineStr">
        <is>
          <t>-</t>
        </is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>
        <f>SUMPRODUCT(($A$4:$A$75=$S56)*($B$4:$B$75=U$3)*($C$3:$P$3=$T56),$C$4:$P$75)</f>
        <v/>
      </c>
      <c r="V56" t="inlineStr"/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>
        <f>SUMPRODUCT(($A$4:$A$75=$S57)*($B$4:$B$75=U$3)*($C$3:$P$3=$T57),$C$4:$P$75)</f>
        <v/>
      </c>
      <c r="V57" t="inlineStr">
        <is>
          <t>N/A</t>
        </is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>
        <f>SUMPRODUCT(($A$4:$A$75=$S58)*($B$4:$B$75=U$3)*($C$3:$P$3=$T58),$C$4:$P$75)</f>
        <v/>
      </c>
      <c r="V58" t="inlineStr">
        <is>
          <t>-</t>
        </is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>
        <f>SUMPRODUCT(($A$4:$A$75=$S59)*($B$4:$B$75=U$3)*($C$3:$P$3=$T59),$C$4:$P$75)</f>
        <v/>
      </c>
      <c r="V59" t="inlineStr"/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>
        <f>SUMPRODUCT(($A$4:$A$75=$S60)*($B$4:$B$75=U$3)*($C$3:$P$3=$T60),$C$4:$P$75)</f>
        <v/>
      </c>
      <c r="V60" t="inlineStr">
        <is>
          <t>N/A</t>
        </is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>
        <f>SUMPRODUCT(($A$4:$A$75=$S61)*($B$4:$B$75=U$3)*($C$3:$P$3=$T61),$C$4:$P$75)</f>
        <v/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>
        <f>SUMPRODUCT(($A$4:$A$75=$S62)*($B$4:$B$75=U$3)*($C$3:$P$3=$T62),$C$4:$P$75)</f>
        <v/>
      </c>
      <c r="V62" t="inlineStr"/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>
        <f>SUMPRODUCT(($A$4:$A$75=$S63)*($B$4:$B$75=U$3)*($C$3:$P$3=$T63),$C$4:$P$75)</f>
        <v/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>
        <f>SUMPRODUCT(($A$4:$A$75=$S64)*($B$4:$B$75=U$3)*($C$3:$P$3=$T64),$C$4:$P$75)</f>
        <v/>
      </c>
      <c r="V64" t="inlineStr">
        <is>
          <t>N/A</t>
        </is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>
        <f>SUMPRODUCT(($A$4:$A$75=$S65)*($B$4:$B$75=U$3)*($C$3:$P$3=$T65),$C$4:$P$75)</f>
        <v/>
      </c>
      <c r="V65" t="inlineStr"/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>
        <f>SUMPRODUCT(($A$4:$A$75=$S66)*($B$4:$B$75=U$3)*($C$3:$P$3=$T66),$C$4:$P$75)</f>
        <v/>
      </c>
      <c r="V66" t="inlineStr">
        <is>
          <t>-</t>
        </is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>
        <f>SUMPRODUCT(($A$4:$A$75=$S67)*($B$4:$B$75=U$3)*($C$3:$P$3=$T67),$C$4:$P$75)</f>
        <v/>
      </c>
      <c r="V67" t="inlineStr">
        <is>
          <t>-</t>
        </is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>
        <f>SUMPRODUCT(($A$4:$A$75=$S68)*($B$4:$B$75=U$3)*($C$3:$P$3=$T68),$C$4:$P$75)</f>
        <v/>
      </c>
      <c r="V68" t="inlineStr">
        <is>
          <t>N/A</t>
        </is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>
        <f>SUMPRODUCT(($A$4:$A$75=$S69)*($B$4:$B$75=U$3)*($C$3:$P$3=$T69),$C$4:$P$75)</f>
        <v/>
      </c>
      <c r="V69" t="inlineStr">
        <is>
          <t>-</t>
        </is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>
        <f>SUMPRODUCT(($A$4:$A$75=$S70)*($B$4:$B$75=U$3)*($C$3:$P$3=$T70),$C$4:$P$75)</f>
        <v/>
      </c>
      <c r="V70" t="inlineStr"/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>
        <f>SUMPRODUCT(($A$4:$A$75=$S71)*($B$4:$B$75=U$3)*($C$3:$P$3=$T71),$C$4:$P$75)</f>
        <v/>
      </c>
      <c r="V71" t="inlineStr">
        <is>
          <t>N/A</t>
        </is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>
        <f>SUMPRODUCT(($A$4:$A$75=$S72)*($B$4:$B$75=U$3)*($C$3:$P$3=$T72),$C$4:$P$75)</f>
        <v/>
      </c>
      <c r="V72" t="inlineStr"/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>
        <f>SUMPRODUCT(($A$4:$A$75=$S73)*($B$4:$B$75=U$3)*($C$3:$P$3=$T73),$C$4:$P$75)</f>
        <v/>
      </c>
      <c r="V73" t="inlineStr">
        <is>
          <t>N/A</t>
        </is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>
        <f>SUMPRODUCT(($A$4:$A$75=$S74)*($B$4:$B$75=U$3)*($C$3:$P$3=$T74),$C$4:$P$75)</f>
        <v/>
      </c>
      <c r="V74" t="inlineStr"/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>
        <f>SUMPRODUCT(($A$4:$A$75=$S75)*($B$4:$B$75=U$3)*($C$3:$P$3=$T75),$C$4:$P$75)</f>
        <v/>
      </c>
      <c r="V7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</dc:creator>
  <dcterms:created xsi:type="dcterms:W3CDTF">2014-12-27T11:35:57Z</dcterms:created>
  <dcterms:modified xsi:type="dcterms:W3CDTF">2026-05-02T06:28:02Z</dcterms:modified>
  <cp:lastModifiedBy>Lenny Hdalevich</cp:lastModifiedBy>
</cp:coreProperties>
</file>