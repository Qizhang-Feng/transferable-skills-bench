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1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0" numFmtId="14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3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customWidth="1" max="1" min="1" width="8.28333333333333"/>
    <col customWidth="1" max="2" min="2" style="6" width="10.7083333333333"/>
    <col customWidth="1" max="3" min="3" width="16"/>
    <col customWidth="1" max="4" min="4" width="6"/>
    <col customWidth="1" max="5" min="5" width="5"/>
    <col customWidth="1" max="6" min="6" width="17.8583333333333"/>
    <col customWidth="1" max="12" min="12" width="11.425"/>
  </cols>
  <sheetData>
    <row customFormat="1" customHeight="1" ht="15.5" r="1" s="5">
      <c r="A1" s="7" t="inlineStr">
        <is>
          <t>SL. NO.</t>
        </is>
      </c>
      <c r="B1" s="8" t="inlineStr">
        <is>
          <t>DATE</t>
        </is>
      </c>
      <c r="C1" s="7" t="inlineStr">
        <is>
          <t>VENUE</t>
        </is>
      </c>
      <c r="D1" s="7" t="inlineStr">
        <is>
          <t>EVT</t>
        </is>
      </c>
      <c r="E1" s="7" t="inlineStr">
        <is>
          <t>TAB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VALID</t>
        </is>
      </c>
      <c r="K1" s="5" t="inlineStr">
        <is>
          <t xml:space="preserve">OUTCOME </t>
        </is>
      </c>
      <c r="L1" s="5" t="inlineStr">
        <is>
          <t>MANUAL</t>
        </is>
      </c>
    </row>
    <row customHeight="1" ht="17" r="2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VLOOKUP(F2,Sheet3!$A$2:$D$300,2,FALSE)</f>
        <v/>
      </c>
      <c r="H2">
        <f>VLOOKUP(F2,Sheet3!$A$2:$D$300,3,FALSE)</f>
        <v/>
      </c>
      <c r="I2">
        <f>VLOOKUP(F2,Sheet3!$A$2:$D$300,4,FALSE)</f>
        <v/>
      </c>
      <c r="J2" s="2" t="n">
        <v>82</v>
      </c>
      <c r="K2" s="1" t="n">
        <v>13</v>
      </c>
      <c r="L2" s="3" t="n">
        <v>2.8</v>
      </c>
    </row>
    <row customHeight="1" ht="17" r="3">
      <c r="E3" s="10" t="n">
        <v>8</v>
      </c>
      <c r="F3" t="inlineStr">
        <is>
          <t>Subzero Trans Am</t>
        </is>
      </c>
      <c r="G3">
        <f>VLOOKUP(F3,Sheet3!$A$2:$D$300,2,FALSE)</f>
        <v/>
      </c>
      <c r="H3">
        <f>VLOOKUP(F3,Sheet3!$A$2:$D$300,3,FALSE)</f>
        <v/>
      </c>
      <c r="I3">
        <f>VLOOKUP(F3,Sheet3!$A$2:$D$300,4,FALSE)</f>
        <v/>
      </c>
      <c r="J3" s="3" t="n">
        <v>86</v>
      </c>
      <c r="K3" s="1" t="n">
        <v>4.6</v>
      </c>
      <c r="L3" s="1" t="n">
        <v>1.6</v>
      </c>
    </row>
    <row customHeight="1" ht="17" r="4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VLOOKUP(F4,Sheet3!$A$2:$D$300,2,FALSE)</f>
        <v/>
      </c>
      <c r="H4">
        <f>VLOOKUP(F4,Sheet3!$A$2:$D$300,3,FALSE)</f>
        <v/>
      </c>
      <c r="I4">
        <f>VLOOKUP(F4,Sheet3!$A$2:$D$300,4,FALSE)</f>
        <v/>
      </c>
      <c r="J4" s="3" t="n">
        <v>85</v>
      </c>
      <c r="K4" s="2" t="n">
        <v>12</v>
      </c>
      <c r="L4" s="3" t="n">
        <v>3.5</v>
      </c>
    </row>
    <row customHeight="1" ht="17" r="5">
      <c r="E5" s="10" t="n">
        <v>8</v>
      </c>
      <c r="F5" t="inlineStr">
        <is>
          <t>Subzero Sutton</t>
        </is>
      </c>
      <c r="G5">
        <f>VLOOKUP(F5,Sheet3!$A$2:$D$300,2,FALSE)</f>
        <v/>
      </c>
      <c r="H5">
        <f>VLOOKUP(F5,Sheet3!$A$2:$D$300,3,FALSE)</f>
        <v/>
      </c>
      <c r="I5">
        <f>VLOOKUP(F5,Sheet3!$A$2:$D$300,4,FALSE)</f>
        <v/>
      </c>
      <c r="J5" t="n">
        <v>100</v>
      </c>
      <c r="K5" s="1" t="n">
        <v>3.2</v>
      </c>
      <c r="L5" s="1" t="n">
        <v>1.5</v>
      </c>
    </row>
    <row customHeight="1" ht="17" r="6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VLOOKUP(F6,Sheet3!$A$2:$D$300,2,FALSE)</f>
        <v/>
      </c>
      <c r="H6">
        <f>VLOOKUP(F6,Sheet3!$A$2:$D$300,3,FALSE)</f>
        <v/>
      </c>
      <c r="I6">
        <f>VLOOKUP(F6,Sheet3!$A$2:$D$300,4,FALSE)</f>
        <v/>
      </c>
      <c r="J6" s="3" t="n">
        <v>85</v>
      </c>
      <c r="K6" s="3" t="n">
        <v>8</v>
      </c>
      <c r="L6" s="3" t="n">
        <v>2.8</v>
      </c>
    </row>
    <row customHeight="1" ht="17" r="7">
      <c r="E7" s="10" t="n">
        <v>3</v>
      </c>
      <c r="F7" t="inlineStr">
        <is>
          <t>Crackles Street</t>
        </is>
      </c>
      <c r="G7">
        <f>VLOOKUP(F7,Sheet3!$A$2:$D$300,2,FALSE)</f>
        <v/>
      </c>
      <c r="H7">
        <f>VLOOKUP(F7,Sheet3!$A$2:$D$300,3,FALSE)</f>
        <v/>
      </c>
      <c r="I7">
        <f>VLOOKUP(F7,Sheet3!$A$2:$D$300,4,FALSE)</f>
        <v/>
      </c>
      <c r="J7" s="2" t="n">
        <v>75</v>
      </c>
      <c r="K7" s="1" t="n">
        <v>4.6</v>
      </c>
      <c r="L7" s="3" t="n">
        <v>2.1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customWidth="1" max="1" min="1" width="4"/>
    <col customWidth="1" max="2" min="2" width="10.7083333333333"/>
    <col customWidth="1" max="3" min="3" width="19.2833333333333"/>
    <col customWidth="1" max="4" min="4" width="3.56666666666667"/>
    <col customWidth="1" max="5" min="5" width="3.425"/>
    <col customWidth="1" max="6" min="6" width="3.85833333333333"/>
    <col customWidth="1" max="7" min="7" width="20.1416666666667"/>
    <col customWidth="1" max="8" min="8" width="4"/>
    <col customWidth="1" max="9" min="9" width="5.56666666666667"/>
    <col customWidth="1" max="10" min="10" width="5"/>
  </cols>
  <sheetData>
    <row r="1">
      <c r="A1" t="inlineStr">
        <is>
          <t>SN</t>
        </is>
      </c>
      <c r="B1" t="inlineStr">
        <is>
          <t>DATE</t>
        </is>
      </c>
      <c r="C1" t="inlineStr">
        <is>
          <t>VENUE</t>
        </is>
      </c>
      <c r="D1" t="inlineStr">
        <is>
          <t>EN</t>
        </is>
      </c>
      <c r="E1" t="inlineStr">
        <is>
          <t>BN</t>
        </is>
      </c>
      <c r="F1" t="inlineStr">
        <is>
          <t>PICK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B1" sqref="B1:D1"/>
    </sheetView>
  </sheetViews>
  <sheetFormatPr baseColWidth="8" defaultColWidth="15.7083333333333" defaultRowHeight="14"/>
  <cols>
    <col customWidth="1" max="1" min="1" width="20.1416666666667"/>
    <col customWidth="1" max="2" min="2" width="4"/>
    <col customWidth="1" max="3" min="3" width="5.56666666666667"/>
    <col customWidth="1" max="4" min="4" width="5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  <c r="E1" t="inlineStr">
        <is>
          <t>ODDS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  <c r="E2" t="inlineStr"/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  <c r="E3" t="inlineStr">
        <is>
          <t>-</t>
        </is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  <c r="E5" t="inlineStr">
        <is>
          <t>N/A</t>
        </is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  <c r="E6" t="inlineStr"/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  <c r="E7" t="inlineStr">
        <is>
          <t>-</t>
        </is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  <c r="E8" t="inlineStr">
        <is>
          <t>-</t>
        </is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  <c r="E9" t="inlineStr">
        <is>
          <t>-</t>
        </is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  <c r="E11" t="inlineStr">
        <is>
          <t>N/A</t>
        </is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  <c r="E12" t="inlineStr">
        <is>
          <t>-</t>
        </is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  <c r="E13" t="inlineStr">
        <is>
          <t>N/A</t>
        </is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  <c r="E14" t="inlineStr">
        <is>
          <t>-</t>
        </is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  <c r="E15" t="inlineStr"/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  <c r="E16" t="inlineStr"/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  <c r="E18" t="inlineStr">
        <is>
          <t>-</t>
        </is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  <c r="E19" t="inlineStr">
        <is>
          <t>N/A</t>
        </is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  <c r="E20" t="inlineStr"/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  <c r="E22" t="inlineStr">
        <is>
          <t>N/A</t>
        </is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  <c r="E24" t="inlineStr">
        <is>
          <t>N/A</t>
        </is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  <c r="E25" t="inlineStr">
        <is>
          <t>-</t>
        </is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  <c r="E26" t="inlineStr"/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  <c r="E27" t="inlineStr">
        <is>
          <t>-</t>
        </is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  <c r="E28" t="inlineStr">
        <is>
          <t>N/A</t>
        </is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  <c r="E29" t="inlineStr"/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  <c r="E30" t="inlineStr">
        <is>
          <t>N/A</t>
        </is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  <c r="E31" t="inlineStr">
        <is>
          <t>N/A</t>
        </is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  <c r="E32" t="inlineStr">
        <is>
          <t>-</t>
        </is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  <c r="E33" t="inlineStr"/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  <c r="E34" t="inlineStr">
        <is>
          <t>N/A</t>
        </is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  <c r="E35" t="inlineStr">
        <is>
          <t>N/A</t>
        </is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  <c r="E36" t="inlineStr">
        <is>
          <t>-</t>
        </is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  <c r="E37" t="inlineStr">
        <is>
          <t>N/A</t>
        </is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  <c r="E38" t="inlineStr"/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  <c r="E39" t="inlineStr">
        <is>
          <t>-</t>
        </is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  <c r="E41" t="inlineStr"/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  <c r="E42" t="inlineStr"/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  <c r="E43" t="inlineStr">
        <is>
          <t>N/A</t>
        </is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  <c r="E44" t="inlineStr"/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  <c r="E45" t="inlineStr">
        <is>
          <t>N/A</t>
        </is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  <c r="E46" t="inlineStr"/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  <c r="E47" t="inlineStr"/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  <c r="E48" t="inlineStr">
        <is>
          <t>N/A</t>
        </is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  <c r="E49" t="inlineStr"/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  <c r="E50" t="inlineStr">
        <is>
          <t>-</t>
        </is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  <c r="E51" t="inlineStr">
        <is>
          <t>-</t>
        </is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  <c r="E52" t="inlineStr">
        <is>
          <t>-</t>
        </is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  <c r="E53" t="inlineStr"/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  <c r="E55" t="inlineStr">
        <is>
          <t>-</t>
        </is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  <c r="E56" t="inlineStr"/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  <c r="E57" t="inlineStr">
        <is>
          <t>-</t>
        </is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  <c r="E58" t="inlineStr"/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  <c r="E59" t="inlineStr">
        <is>
          <t>-</t>
        </is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  <c r="E60" t="inlineStr"/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  <c r="E61" t="inlineStr">
        <is>
          <t>N/A</t>
        </is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  <c r="E62" t="inlineStr">
        <is>
          <t>N/A</t>
        </is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  <c r="E64" t="inlineStr"/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  <c r="E66" t="inlineStr">
        <is>
          <t>-</t>
        </is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  <c r="E67" t="inlineStr">
        <is>
          <t>-</t>
        </is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  <c r="E68" t="inlineStr"/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  <c r="E69" t="inlineStr"/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  <c r="E70" t="inlineStr">
        <is>
          <t>-</t>
        </is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  <c r="E72" t="inlineStr">
        <is>
          <t>N/A</t>
        </is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  <c r="E73" t="inlineStr">
        <is>
          <t>-</t>
        </is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  <c r="E74" t="inlineStr"/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  <c r="E75" t="inlineStr">
        <is>
          <t>-</t>
        </is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  <c r="E77" t="inlineStr">
        <is>
          <t>N/A</t>
        </is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  <c r="E78" t="inlineStr">
        <is>
          <t>-</t>
        </is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  <c r="E79" t="inlineStr"/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  <c r="E81" t="inlineStr">
        <is>
          <t>N/A</t>
        </is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  <c r="E82" t="inlineStr">
        <is>
          <t>-</t>
        </is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  <c r="E83" t="inlineStr">
        <is>
          <t>N/A</t>
        </is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  <c r="E84" t="inlineStr">
        <is>
          <t>-</t>
        </is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  <c r="E85" t="inlineStr">
        <is>
          <t>-</t>
        </is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  <c r="E86" t="inlineStr">
        <is>
          <t>N/A</t>
        </is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  <c r="E87" t="inlineStr">
        <is>
          <t>N/A</t>
        </is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  <c r="E88" t="inlineStr">
        <is>
          <t>-</t>
        </is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  <c r="E89" t="inlineStr">
        <is>
          <t>-</t>
        </is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  <c r="E90" t="inlineStr">
        <is>
          <t>-</t>
        </is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  <c r="E91" t="inlineStr">
        <is>
          <t>N/A</t>
        </is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  <c r="E92" t="inlineStr"/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  <c r="E93" t="inlineStr">
        <is>
          <t>N/A</t>
        </is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  <c r="E94" t="inlineStr">
        <is>
          <t>-</t>
        </is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  <c r="E95" t="inlineStr"/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  <c r="E96" t="inlineStr">
        <is>
          <t>N/A</t>
        </is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  <c r="E97" t="inlineStr">
        <is>
          <t>N/A</t>
        </is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  <c r="E98" t="inlineStr">
        <is>
          <t>N/A</t>
        </is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  <c r="E100" t="inlineStr"/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  <c r="E101" t="inlineStr">
        <is>
          <t>-</t>
        </is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  <c r="E102" t="inlineStr"/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  <c r="E103" t="inlineStr"/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  <c r="E104" t="inlineStr">
        <is>
          <t>N/A</t>
        </is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  <c r="E105" t="inlineStr"/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  <c r="E106" t="inlineStr"/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  <c r="E108" t="inlineStr">
        <is>
          <t>-</t>
        </is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  <c r="E109" t="inlineStr">
        <is>
          <t>-</t>
        </is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  <c r="E110" t="inlineStr">
        <is>
          <t>N/A</t>
        </is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  <c r="E111" t="inlineStr">
        <is>
          <t>-</t>
        </is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  <c r="E112" t="inlineStr">
        <is>
          <t>-</t>
        </is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  <c r="E113" t="inlineStr">
        <is>
          <t>N/A</t>
        </is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  <c r="E114" t="inlineStr"/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  <c r="E115" t="inlineStr"/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  <c r="E117" t="inlineStr">
        <is>
          <t>N/A</t>
        </is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  <c r="E119" t="inlineStr">
        <is>
          <t>-</t>
        </is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  <c r="E120" t="inlineStr">
        <is>
          <t>N/A</t>
        </is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  <c r="E122" t="inlineStr">
        <is>
          <t>-</t>
        </is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  <c r="E123" t="inlineStr">
        <is>
          <t>N/A</t>
        </is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  <c r="E124" t="inlineStr">
        <is>
          <t>N/A</t>
        </is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  <c r="E125" t="inlineStr">
        <is>
          <t>N/A</t>
        </is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  <c r="E126" t="inlineStr">
        <is>
          <t>N/A</t>
        </is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  <c r="E127" t="inlineStr">
        <is>
          <t>N/A</t>
        </is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  <c r="E128" t="inlineStr">
        <is>
          <t>-</t>
        </is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  <c r="E129" t="inlineStr">
        <is>
          <t>N/A</t>
        </is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  <c r="E130" t="inlineStr">
        <is>
          <t>N/A</t>
        </is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  <c r="E131" t="inlineStr">
        <is>
          <t>-</t>
        </is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  <c r="E132" t="inlineStr"/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  <c r="E133" t="inlineStr">
        <is>
          <t>N/A</t>
        </is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  <c r="E134" t="inlineStr"/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  <c r="E135" t="inlineStr">
        <is>
          <t>N/A</t>
        </is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  <c r="E136" t="inlineStr">
        <is>
          <t>N/A</t>
        </is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  <c r="E138" t="inlineStr">
        <is>
          <t>N/A</t>
        </is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  <c r="E140" t="inlineStr">
        <is>
          <t>N/A</t>
        </is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  <c r="E142" t="inlineStr"/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  <c r="E143" t="inlineStr"/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  <c r="E144" t="inlineStr"/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  <c r="E148" t="inlineStr">
        <is>
          <t>N/A</t>
        </is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  <c r="E149" t="inlineStr">
        <is>
          <t>-</t>
        </is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  <c r="E150" t="inlineStr">
        <is>
          <t>-</t>
        </is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  <c r="E152" t="inlineStr">
        <is>
          <t>N/A</t>
        </is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  <c r="E153" t="inlineStr"/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  <c r="E154" t="inlineStr">
        <is>
          <t>-</t>
        </is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  <c r="E156" t="inlineStr">
        <is>
          <t>N/A</t>
        </is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  <c r="E157" t="inlineStr">
        <is>
          <t>-</t>
        </is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  <c r="E159" t="inlineStr">
        <is>
          <t>-</t>
        </is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  <c r="E160" t="inlineStr"/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  <c r="E161" t="inlineStr"/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  <c r="E162" t="inlineStr">
        <is>
          <t>N/A</t>
        </is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  <c r="E163" t="inlineStr">
        <is>
          <t>-</t>
        </is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  <c r="E164" t="inlineStr"/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  <c r="E165" t="inlineStr"/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  <c r="E166" t="inlineStr"/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  <c r="E167" t="inlineStr"/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  <c r="E168" t="inlineStr"/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  <c r="E169" t="inlineStr"/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  <c r="E170" t="inlineStr">
        <is>
          <t>-</t>
        </is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  <c r="E172" t="inlineStr">
        <is>
          <t>-</t>
        </is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  <c r="E173" t="inlineStr"/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  <c r="E174" t="inlineStr">
        <is>
          <t>N/A</t>
        </is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  <c r="E175" t="inlineStr">
        <is>
          <t>N/A</t>
        </is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  <c r="E176" t="inlineStr">
        <is>
          <t>-</t>
        </is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  <c r="E178" t="inlineStr"/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  <c r="E181" t="inlineStr"/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  <c r="E182" t="inlineStr">
        <is>
          <t>N/A</t>
        </is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  <c r="E183" t="inlineStr"/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  <c r="E184" t="inlineStr"/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  <c r="E185" t="inlineStr">
        <is>
          <t>-</t>
        </is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  <c r="E187" t="inlineStr"/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  <c r="E188" t="inlineStr">
        <is>
          <t>-</t>
        </is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  <c r="E190" t="inlineStr">
        <is>
          <t>-</t>
        </is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  <c r="E192" t="inlineStr">
        <is>
          <t>N/A</t>
        </is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  <c r="E194" t="inlineStr"/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  <c r="E196" t="inlineStr"/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  <c r="E197" t="inlineStr"/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  <c r="E200" t="inlineStr"/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2026-05-02T07:39:58Z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5A822576954B4686836388AD4EFA89F9_13</vt:lpwstr>
  </property>
  <property fmtid="{D5CDD505-2E9C-101B-9397-08002B2CF9AE}" name="KSOProductBuildVer" pid="3">
    <vt:lpwstr>2052-12.1.0.16729</vt:lpwstr>
  </property>
</Properties>
</file>