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77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4" fontId="11" numFmtId="0">
      <alignment vertical="center"/>
    </xf>
    <xf applyAlignment="1" borderId="5" fillId="5" fontId="12" numFmtId="0">
      <alignment vertical="center"/>
    </xf>
    <xf applyAlignment="1" borderId="4" fillId="5" fontId="13" numFmtId="0">
      <alignment vertical="center"/>
    </xf>
    <xf applyAlignment="1" borderId="6" fillId="6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K6" sqref="K6"/>
    </sheetView>
  </sheetViews>
  <sheetFormatPr baseColWidth="8" defaultColWidth="9" defaultRowHeight="14" outlineLevelRow="7"/>
  <cols>
    <col customWidth="1" max="6" min="6" width="9.627272727272731"/>
  </cols>
  <sheetData>
    <row r="1"/>
    <row r="2">
      <c r="I2" s="1" t="inlineStr">
        <is>
          <t>The desirable table</t>
        </is>
      </c>
    </row>
    <row r="3">
      <c r="A3" t="inlineStr">
        <is>
          <t>Year</t>
        </is>
      </c>
      <c r="B3" t="inlineStr">
        <is>
          <t>Share No</t>
        </is>
      </c>
      <c r="C3" t="inlineStr">
        <is>
          <t>Net profit</t>
        </is>
      </c>
      <c r="D3" t="inlineStr">
        <is>
          <t>Revenue flow</t>
        </is>
      </c>
      <c r="E3" t="inlineStr">
        <is>
          <t>Tax</t>
        </is>
      </c>
      <c r="F3" t="inlineStr">
        <is>
          <t>Sales cost</t>
        </is>
      </c>
      <c r="I3" t="inlineStr">
        <is>
          <t>Year</t>
        </is>
      </c>
      <c r="J3" t="inlineStr">
        <is>
          <t>Share No</t>
        </is>
      </c>
      <c r="K3" t="inlineStr">
        <is>
          <t>Net profit</t>
        </is>
      </c>
      <c r="L3" t="inlineStr">
        <is>
          <t>Tax</t>
        </is>
      </c>
      <c r="M3" t="inlineStr">
        <is>
          <t>Gross margin</t>
        </is>
      </c>
    </row>
    <row r="4">
      <c r="A4" t="n">
        <v>2013</v>
      </c>
      <c r="B4" t="n">
        <v>101010</v>
      </c>
      <c r="C4" t="n">
        <v>-5300</v>
      </c>
      <c r="D4" t="n">
        <v>12000</v>
      </c>
      <c r="E4" t="n">
        <v>2000</v>
      </c>
      <c r="F4" t="n">
        <v>200</v>
      </c>
      <c r="I4" t="n">
        <v>2012</v>
      </c>
      <c r="J4" t="n">
        <v>101010</v>
      </c>
      <c r="K4">
        <f>+C4</f>
        <v/>
      </c>
      <c r="L4">
        <f>+E4</f>
        <v/>
      </c>
      <c r="M4" t="inlineStr"/>
    </row>
    <row r="5">
      <c r="A5" t="n">
        <v>2012</v>
      </c>
      <c r="B5" t="n">
        <v>101010</v>
      </c>
      <c r="C5">
        <f>+C3*2</f>
        <v/>
      </c>
      <c r="D5">
        <f>+D3*2</f>
        <v/>
      </c>
      <c r="E5">
        <f>+E3*2</f>
        <v/>
      </c>
      <c r="F5">
        <f>+F3*2</f>
        <v/>
      </c>
      <c r="I5" t="n">
        <v>2013</v>
      </c>
      <c r="J5" t="n">
        <v>202020</v>
      </c>
      <c r="K5">
        <f>+C6</f>
        <v/>
      </c>
      <c r="L5">
        <f>+E6</f>
        <v/>
      </c>
    </row>
    <row r="6">
      <c r="A6" t="n">
        <v>2011</v>
      </c>
      <c r="B6" t="n">
        <v>101010</v>
      </c>
      <c r="C6">
        <f>+C4*1.1</f>
        <v/>
      </c>
      <c r="D6">
        <f>+D4*1.1</f>
        <v/>
      </c>
      <c r="E6">
        <f>+E4*1.1</f>
        <v/>
      </c>
      <c r="F6">
        <f>+F4*1.1</f>
        <v/>
      </c>
      <c r="M6" t="inlineStr"/>
    </row>
    <row r="7">
      <c r="A7" t="n">
        <v>2013</v>
      </c>
      <c r="B7" t="n">
        <v>202020</v>
      </c>
      <c r="C7">
        <f>+C3*0.8</f>
        <v/>
      </c>
      <c r="D7">
        <f>+D3*0.8</f>
        <v/>
      </c>
      <c r="E7">
        <f>+E3*0.8</f>
        <v/>
      </c>
      <c r="F7">
        <f>+F3*0.8</f>
        <v/>
      </c>
      <c r="I7" s="1" t="inlineStr">
        <is>
          <t>The wrong formula</t>
        </is>
      </c>
      <c r="K7" s="2">
        <f>IF(($A$3:$A$8=$I3)*($B$3:$B$8=$J3),C3,0)</f>
        <v/>
      </c>
    </row>
    <row r="8">
      <c r="A8" t="n">
        <v>2012</v>
      </c>
      <c r="B8" t="n">
        <v>202020</v>
      </c>
      <c r="C8">
        <f>+C6*2</f>
        <v/>
      </c>
      <c r="D8">
        <f>+D6*2</f>
        <v/>
      </c>
      <c r="E8">
        <f>+E6*2</f>
        <v/>
      </c>
      <c r="F8">
        <f>+F6*2</f>
        <v/>
      </c>
      <c r="M8" t="inlineStr"/>
    </row>
    <row r="9">
      <c r="A9" t="n">
        <v>2011</v>
      </c>
      <c r="B9" t="n">
        <v>202020</v>
      </c>
      <c r="C9">
        <f>+C7*1.1</f>
        <v/>
      </c>
      <c r="D9">
        <f>+D7*1.1</f>
        <v/>
      </c>
      <c r="E9">
        <f>+E7*1.1</f>
        <v/>
      </c>
      <c r="F9">
        <f>+F7*1.1</f>
        <v/>
      </c>
      <c r="M9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2016-02-02T12:25:00Z</dcterms:created>
  <dcterms:modified xsi:type="dcterms:W3CDTF">2026-05-04T07:30:26Z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D6035FE04DE343708C557A0E3FF1018E_12</vt:lpwstr>
  </property>
  <property fmtid="{D5CDD505-2E9C-101B-9397-08002B2CF9AE}" name="KSOProductBuildVer" pid="3">
    <vt:lpwstr>2052-12.1.0.16729</vt:lpwstr>
  </property>
</Properties>
</file>