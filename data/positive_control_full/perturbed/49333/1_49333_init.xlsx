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Inventory" sheetId="1" state="visible" r:id="rId1"/>
    <sheet name="Registry" sheetId="2" state="visible" r:id="rId2"/>
    <sheet name="Dige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G7" sqref="G7"/>
    </sheetView>
  </sheetViews>
  <sheetFormatPr baseColWidth="8" defaultColWidth="9" defaultRowHeight="14" outlineLevelRow="6"/>
  <cols>
    <col customWidth="1" max="1" min="1" width="8.28333333333333"/>
    <col customWidth="1" max="2" min="2" style="6" width="10.7083333333333"/>
    <col customWidth="1" max="3" min="3" width="16"/>
    <col customWidth="1" max="4" min="4" width="6"/>
    <col customWidth="1" max="5" min="5" width="5"/>
    <col customWidth="1" max="6" min="6" width="17.8583333333333"/>
    <col customWidth="1" max="12" min="12" width="11.425"/>
  </cols>
  <sheetData>
    <row customFormat="1" customHeight="1" ht="15.5" r="1" s="5">
      <c r="A1" s="7" t="inlineStr">
        <is>
          <t>Marker</t>
        </is>
      </c>
      <c r="B1" s="8" t="inlineStr">
        <is>
          <t>DATE</t>
        </is>
      </c>
      <c r="C1" s="7" t="inlineStr">
        <is>
          <t>Factor</t>
        </is>
      </c>
      <c r="D1" s="7" t="inlineStr">
        <is>
          <t>Level</t>
        </is>
      </c>
      <c r="E1" s="7" t="inlineStr">
        <is>
          <t>Source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Channel</t>
        </is>
      </c>
      <c r="K1" s="5" t="inlineStr">
        <is>
          <t>Duration</t>
        </is>
      </c>
      <c r="L1" s="5" t="inlineStr">
        <is>
          <t>Volume</t>
        </is>
      </c>
      <c r="M1" t="inlineStr">
        <is>
          <t>SR. NO.</t>
        </is>
      </c>
    </row>
    <row customHeight="1" ht="17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VLOOKUP(F2,Sheet3!$A$2:$D$300,2,FALSE)</f>
        <v/>
      </c>
      <c r="H2">
        <f>VLOOKUP(F2,Sheet3!$A$2:$D$300,3,FALSE)</f>
        <v/>
      </c>
      <c r="I2">
        <f>VLOOKUP(F2,Sheet3!$A$2:$D$300,4,FALSE)</f>
        <v/>
      </c>
      <c r="J2" s="2" t="n">
        <v>82</v>
      </c>
      <c r="K2" s="1" t="n">
        <v>13</v>
      </c>
      <c r="L2" s="3" t="n">
        <v>2.8</v>
      </c>
      <c r="M2" t="n">
        <v>4.19</v>
      </c>
    </row>
    <row customHeight="1" ht="17" r="3">
      <c r="E3" s="10" t="n">
        <v>8</v>
      </c>
      <c r="F3" t="inlineStr">
        <is>
          <t>Subzero Trans Am</t>
        </is>
      </c>
      <c r="G3">
        <f>VLOOKUP(F3,Sheet3!$A$2:$D$300,2,FALSE)</f>
        <v/>
      </c>
      <c r="H3">
        <f>VLOOKUP(F3,Sheet3!$A$2:$D$300,3,FALSE)</f>
        <v/>
      </c>
      <c r="I3">
        <f>VLOOKUP(F3,Sheet3!$A$2:$D$300,4,FALSE)</f>
        <v/>
      </c>
      <c r="J3" s="3" t="n">
        <v>86</v>
      </c>
      <c r="K3" s="1" t="n">
        <v>4.6</v>
      </c>
      <c r="L3" s="1" t="n">
        <v>1.6</v>
      </c>
      <c r="M3" t="n">
        <v>41.72</v>
      </c>
    </row>
    <row customHeight="1" ht="17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VLOOKUP(F4,Sheet3!$A$2:$D$300,2,FALSE)</f>
        <v/>
      </c>
      <c r="H4">
        <f>VLOOKUP(F4,Sheet3!$A$2:$D$300,3,FALSE)</f>
        <v/>
      </c>
      <c r="I4">
        <f>VLOOKUP(F4,Sheet3!$A$2:$D$300,4,FALSE)</f>
        <v/>
      </c>
      <c r="J4" s="3" t="n">
        <v>85</v>
      </c>
      <c r="K4" s="2" t="n">
        <v>12</v>
      </c>
      <c r="L4" s="3" t="n">
        <v>3.5</v>
      </c>
      <c r="M4" t="n">
        <v>35.27</v>
      </c>
    </row>
    <row customHeight="1" ht="17" r="5">
      <c r="E5" s="10" t="n">
        <v>8</v>
      </c>
      <c r="F5" t="inlineStr">
        <is>
          <t>Subzero Sutton</t>
        </is>
      </c>
      <c r="G5">
        <f>VLOOKUP(F5,Sheet3!$A$2:$D$300,2,FALSE)</f>
        <v/>
      </c>
      <c r="H5">
        <f>VLOOKUP(F5,Sheet3!$A$2:$D$300,3,FALSE)</f>
        <v/>
      </c>
      <c r="I5">
        <f>VLOOKUP(F5,Sheet3!$A$2:$D$300,4,FALSE)</f>
        <v/>
      </c>
      <c r="J5" t="n">
        <v>100</v>
      </c>
      <c r="K5" s="1" t="n">
        <v>3.2</v>
      </c>
      <c r="L5" s="1" t="n">
        <v>1.5</v>
      </c>
      <c r="M5" t="n">
        <v>58.7</v>
      </c>
    </row>
    <row customHeight="1" ht="17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VLOOKUP(F6,Sheet3!$A$2:$D$300,2,FALSE)</f>
        <v/>
      </c>
      <c r="H6">
        <f>VLOOKUP(F6,Sheet3!$A$2:$D$300,3,FALSE)</f>
        <v/>
      </c>
      <c r="I6">
        <f>VLOOKUP(F6,Sheet3!$A$2:$D$300,4,FALSE)</f>
        <v/>
      </c>
      <c r="J6" s="3" t="n">
        <v>85</v>
      </c>
      <c r="K6" s="3" t="n">
        <v>8</v>
      </c>
      <c r="L6" s="3" t="n">
        <v>2.8</v>
      </c>
      <c r="M6" t="n">
        <v>93.01000000000001</v>
      </c>
    </row>
    <row customHeight="1" ht="17" r="7">
      <c r="E7" s="10" t="n">
        <v>3</v>
      </c>
      <c r="F7" t="inlineStr">
        <is>
          <t>Crackles Street</t>
        </is>
      </c>
      <c r="G7">
        <f>VLOOKUP(F7,Sheet3!$A$2:$D$300,2,FALSE)</f>
        <v/>
      </c>
      <c r="H7">
        <f>VLOOKUP(F7,Sheet3!$A$2:$D$300,3,FALSE)</f>
        <v/>
      </c>
      <c r="I7">
        <f>VLOOKUP(F7,Sheet3!$A$2:$D$300,4,FALSE)</f>
        <v/>
      </c>
      <c r="J7" s="2" t="n">
        <v>75</v>
      </c>
      <c r="K7" s="1" t="n">
        <v>4.6</v>
      </c>
      <c r="L7" s="3" t="n">
        <v>2.1</v>
      </c>
      <c r="M7" t="n">
        <v>-94.14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customWidth="1" max="1" min="1" width="4"/>
    <col customWidth="1" max="2" min="2" width="10.7083333333333"/>
    <col customWidth="1" max="3" min="3" width="19.2833333333333"/>
    <col customWidth="1" max="4" min="4" width="3.56666666666667"/>
    <col customWidth="1" max="5" min="5" width="3.425"/>
    <col customWidth="1" max="6" min="6" width="3.85833333333333"/>
    <col customWidth="1" max="7" min="7" width="20.1416666666667"/>
    <col customWidth="1" max="8" min="8" width="4"/>
    <col customWidth="1" max="9" min="9" width="5.56666666666667"/>
    <col customWidth="1" max="10" min="10" width="5"/>
  </cols>
  <sheetData>
    <row r="1">
      <c r="A1" t="inlineStr">
        <is>
          <t>Medium</t>
        </is>
      </c>
      <c r="B1" t="inlineStr">
        <is>
          <t>DATE</t>
        </is>
      </c>
      <c r="C1" t="inlineStr">
        <is>
          <t>Factor</t>
        </is>
      </c>
      <c r="D1" t="inlineStr">
        <is>
          <t>Cycle</t>
        </is>
      </c>
      <c r="E1" t="inlineStr">
        <is>
          <t>Frequency</t>
        </is>
      </c>
      <c r="F1" t="inlineStr">
        <is>
          <t>Status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customWidth="1" max="1" min="1" width="20.1416666666667"/>
    <col customWidth="1" max="2" min="2" width="4"/>
    <col customWidth="1" max="3" min="3" width="5.56666666666667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2026-05-29T00:38:06Z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5A822576954B4686836388AD4EFA89F9_13</vt:lpwstr>
  </property>
  <property fmtid="{D5CDD505-2E9C-101B-9397-08002B2CF9AE}" name="KSOProductBuildVer" pid="3">
    <vt:lpwstr>2052-12.1.0.16729</vt:lpwstr>
  </property>
</Properties>
</file>