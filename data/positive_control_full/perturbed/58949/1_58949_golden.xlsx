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7800"/>
  </bookViews>
  <sheets>
    <sheet name="Registry" sheetId="1" state="visible" r:id="rId1"/>
    <sheet name="Ledger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1" numFmtId="0">
      <alignment vertical="center"/>
    </xf>
    <xf applyAlignment="1" borderId="0" fillId="0" fontId="2" numFmtId="0">
      <alignment vertical="center"/>
    </xf>
    <xf applyAlignment="1" borderId="1" fillId="2" fontId="0" numFmtId="0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2" fillId="0" fontId="6" numFmtId="0">
      <alignment vertical="center"/>
    </xf>
    <xf applyAlignment="1" borderId="2" fillId="0" fontId="7" numFmtId="0">
      <alignment vertical="center"/>
    </xf>
    <xf applyAlignment="1" borderId="3" fillId="0" fontId="8" numFmtId="0">
      <alignment vertical="center"/>
    </xf>
    <xf applyAlignment="1" borderId="0" fillId="0" fontId="8" numFmtId="0">
      <alignment vertical="center"/>
    </xf>
    <xf applyAlignment="1" borderId="4" fillId="3" fontId="9" numFmtId="0">
      <alignment vertical="center"/>
    </xf>
    <xf applyAlignment="1" borderId="5" fillId="4" fontId="10" numFmtId="0">
      <alignment vertical="center"/>
    </xf>
    <xf applyAlignment="1" borderId="4" fillId="4" fontId="11" numFmtId="0">
      <alignment vertical="center"/>
    </xf>
    <xf applyAlignment="1" borderId="6" fillId="5" fontId="12" numFmtId="0">
      <alignment vertical="center"/>
    </xf>
    <xf applyAlignment="1" borderId="7" fillId="0" fontId="13" numFmtId="0">
      <alignment vertical="center"/>
    </xf>
    <xf applyAlignment="1" borderId="8" fillId="0" fontId="14" numFmtId="0">
      <alignment vertical="center"/>
    </xf>
    <xf applyAlignment="1" borderId="0" fillId="6" fontId="15" numFmtId="0">
      <alignment vertical="center"/>
    </xf>
    <xf applyAlignment="1" borderId="0" fillId="7" fontId="16" numFmtId="0">
      <alignment vertical="center"/>
    </xf>
    <xf applyAlignment="1" borderId="0" fillId="8" fontId="17" numFmtId="0">
      <alignment vertical="center"/>
    </xf>
    <xf applyAlignment="1" borderId="0" fillId="9" fontId="18" numFmtId="0">
      <alignment vertical="center"/>
    </xf>
    <xf applyAlignment="1" borderId="0" fillId="10" fontId="19" numFmtId="0">
      <alignment vertical="center"/>
    </xf>
    <xf applyAlignment="1" borderId="0" fillId="11" fontId="19" numFmtId="0">
      <alignment vertical="center"/>
    </xf>
    <xf applyAlignment="1" borderId="0" fillId="12" fontId="18" numFmtId="0">
      <alignment vertical="center"/>
    </xf>
    <xf applyAlignment="1" borderId="0" fillId="13" fontId="18" numFmtId="0">
      <alignment vertical="center"/>
    </xf>
    <xf applyAlignment="1" borderId="0" fillId="14" fontId="19" numFmtId="0">
      <alignment vertical="center"/>
    </xf>
    <xf applyAlignment="1" borderId="0" fillId="15" fontId="19" numFmtId="0">
      <alignment vertical="center"/>
    </xf>
    <xf applyAlignment="1" borderId="0" fillId="16" fontId="18" numFmtId="0">
      <alignment vertical="center"/>
    </xf>
    <xf applyAlignment="1" borderId="0" fillId="17" fontId="18" numFmtId="0">
      <alignment vertical="center"/>
    </xf>
    <xf applyAlignment="1" borderId="0" fillId="18" fontId="19" numFmtId="0">
      <alignment vertical="center"/>
    </xf>
    <xf applyAlignment="1" borderId="0" fillId="19" fontId="19" numFmtId="0">
      <alignment vertical="center"/>
    </xf>
    <xf applyAlignment="1" borderId="0" fillId="20" fontId="18" numFmtId="0">
      <alignment vertical="center"/>
    </xf>
    <xf applyAlignment="1" borderId="0" fillId="21" fontId="18" numFmtId="0">
      <alignment vertical="center"/>
    </xf>
    <xf applyAlignment="1" borderId="0" fillId="22" fontId="19" numFmtId="0">
      <alignment vertical="center"/>
    </xf>
    <xf applyAlignment="1" borderId="0" fillId="23" fontId="19" numFmtId="0">
      <alignment vertical="center"/>
    </xf>
    <xf applyAlignment="1" borderId="0" fillId="24" fontId="18" numFmtId="0">
      <alignment vertical="center"/>
    </xf>
    <xf applyAlignment="1" borderId="0" fillId="25" fontId="18" numFmtId="0">
      <alignment vertical="center"/>
    </xf>
    <xf applyAlignment="1" borderId="0" fillId="26" fontId="19" numFmtId="0">
      <alignment vertical="center"/>
    </xf>
    <xf applyAlignment="1" borderId="0" fillId="27" fontId="19" numFmtId="0">
      <alignment vertical="center"/>
    </xf>
    <xf applyAlignment="1" borderId="0" fillId="28" fontId="18" numFmtId="0">
      <alignment vertical="center"/>
    </xf>
    <xf applyAlignment="1" borderId="0" fillId="29" fontId="18" numFmtId="0">
      <alignment vertical="center"/>
    </xf>
    <xf applyAlignment="1" borderId="0" fillId="30" fontId="19" numFmtId="0">
      <alignment vertical="center"/>
    </xf>
    <xf applyAlignment="1" borderId="0" fillId="31" fontId="19" numFmtId="0">
      <alignment vertical="center"/>
    </xf>
    <xf applyAlignment="1" borderId="0" fillId="32" fontId="18" numFmtId="0">
      <alignment vertical="center"/>
    </xf>
  </cellStyleXfs>
  <cellXfs count="3">
    <xf borderId="0" fillId="0" fontId="0" numFmtId="0" pivotButton="0" quotePrefix="0" xfId="0"/>
    <xf applyAlignment="1" borderId="0" fillId="0" fontId="0" numFmtId="0" pivotButton="0" quotePrefix="0" xfId="0">
      <alignment horizontal="center" vertical="center"/>
    </xf>
    <xf applyAlignment="1" borderId="0" fillId="0" fontId="0" numFmtId="0" pivotButton="0" quotePrefix="0" xfId="0">
      <alignment horizontal="center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D13"/>
  <sheetViews>
    <sheetView tabSelected="1" workbookViewId="0">
      <selection activeCell="B2" sqref="B2"/>
    </sheetView>
  </sheetViews>
  <sheetFormatPr baseColWidth="8" defaultColWidth="9.16666666666667" defaultRowHeight="14"/>
  <cols>
    <col customWidth="1" max="1" min="1" style="2" width="11.5"/>
    <col customWidth="1" max="2" min="2" style="2" width="13.5"/>
    <col customWidth="1" max="16384" min="3" style="2" width="9.16666666666667"/>
  </cols>
  <sheetData>
    <row r="1">
      <c r="A1" s="2" t="inlineStr">
        <is>
          <t>Frequency</t>
        </is>
      </c>
      <c r="B1" s="2" t="inlineStr">
        <is>
          <t>Duration</t>
        </is>
      </c>
      <c r="C1" s="2" t="inlineStr">
        <is>
          <t>Metric</t>
        </is>
      </c>
      <c r="D1" t="inlineStr">
        <is>
          <t>Person</t>
        </is>
      </c>
    </row>
    <row r="2">
      <c r="A2" s="2" t="inlineStr">
        <is>
          <t>Mr Smith</t>
        </is>
      </c>
      <c r="B2" s="2" t="inlineStr">
        <is>
          <t>Mondeo</t>
        </is>
      </c>
      <c r="C2" s="2" t="n">
        <v>7500</v>
      </c>
      <c r="D2" t="n">
        <v>41.61</v>
      </c>
    </row>
    <row r="3">
      <c r="A3" s="2" t="inlineStr">
        <is>
          <t>Mr Smith</t>
        </is>
      </c>
      <c r="B3" s="2" t="inlineStr">
        <is>
          <t>Giulia</t>
        </is>
      </c>
      <c r="C3" s="2" t="n">
        <v>22000</v>
      </c>
      <c r="D3" t="n">
        <v>79.73999999999999</v>
      </c>
    </row>
    <row r="4">
      <c r="A4" s="2" t="inlineStr">
        <is>
          <t>Mr Smith 2</t>
        </is>
      </c>
      <c r="B4" s="2" t="inlineStr">
        <is>
          <t>Focus</t>
        </is>
      </c>
      <c r="C4" s="2" t="n">
        <v>4000</v>
      </c>
      <c r="D4" t="n">
        <v>0.8100000000000001</v>
      </c>
    </row>
    <row r="5">
      <c r="A5" s="2" t="inlineStr">
        <is>
          <t>Mr Smith 2</t>
        </is>
      </c>
      <c r="B5" s="2" t="inlineStr">
        <is>
          <t>Fiesta</t>
        </is>
      </c>
      <c r="C5" s="2" t="n">
        <v>3000</v>
      </c>
      <c r="D5" t="n">
        <v>43.45</v>
      </c>
    </row>
    <row r="6">
      <c r="A6" s="2" t="inlineStr">
        <is>
          <t>Mr Smith 2</t>
        </is>
      </c>
      <c r="B6" s="2" t="inlineStr">
        <is>
          <t>C Class</t>
        </is>
      </c>
      <c r="C6" s="2" t="n">
        <v>17000</v>
      </c>
      <c r="D6" t="n">
        <v>49.95</v>
      </c>
    </row>
    <row r="7">
      <c r="A7" s="2" t="inlineStr">
        <is>
          <t>Mr Smith 3</t>
        </is>
      </c>
      <c r="B7" s="2" t="inlineStr">
        <is>
          <t>E Class</t>
        </is>
      </c>
      <c r="C7" s="2" t="n">
        <v>15000</v>
      </c>
      <c r="D7" t="n">
        <v>-77.25</v>
      </c>
    </row>
    <row r="8">
      <c r="A8" s="2" t="inlineStr">
        <is>
          <t>Mr Smith 3</t>
        </is>
      </c>
      <c r="B8" s="2" t="inlineStr">
        <is>
          <t>Focus</t>
        </is>
      </c>
      <c r="C8" s="2" t="n">
        <v>4500</v>
      </c>
      <c r="D8" t="n">
        <v>76.51000000000001</v>
      </c>
    </row>
    <row r="9">
      <c r="A9" s="2" t="inlineStr">
        <is>
          <t>Mr Smith 3</t>
        </is>
      </c>
      <c r="B9" s="2" t="inlineStr">
        <is>
          <t>Fiesta</t>
        </is>
      </c>
      <c r="C9" s="2" t="n">
        <v>2000</v>
      </c>
      <c r="D9" t="n">
        <v>25.25</v>
      </c>
    </row>
    <row r="10">
      <c r="A10" s="2" t="inlineStr">
        <is>
          <t>Mr Smith 3</t>
        </is>
      </c>
      <c r="B10" s="2" t="inlineStr">
        <is>
          <t>Giulia</t>
        </is>
      </c>
      <c r="C10" s="2" t="n">
        <v>28000</v>
      </c>
      <c r="D10" t="n">
        <v>22.07</v>
      </c>
    </row>
    <row r="11">
      <c r="A11" s="2" t="inlineStr">
        <is>
          <t>Mr Smith 4</t>
        </is>
      </c>
      <c r="B11" s="2" t="inlineStr">
        <is>
          <t>Cayman S</t>
        </is>
      </c>
      <c r="C11" s="2" t="n">
        <v>47000</v>
      </c>
      <c r="D11" t="n">
        <v>99.93000000000001</v>
      </c>
    </row>
    <row r="12">
      <c r="A12" s="2" t="inlineStr">
        <is>
          <t>Mr Smith 4</t>
        </is>
      </c>
      <c r="B12" s="2" t="inlineStr">
        <is>
          <t>Focus</t>
        </is>
      </c>
      <c r="C12" s="2" t="n">
        <v>10000</v>
      </c>
      <c r="D12" t="n">
        <v>51.44</v>
      </c>
    </row>
    <row r="13">
      <c r="A13" s="2" t="inlineStr">
        <is>
          <t>Mr Smith 4</t>
        </is>
      </c>
      <c r="B13" s="2" t="inlineStr">
        <is>
          <t>Transit</t>
        </is>
      </c>
      <c r="C13" s="2" t="n">
        <v>6500</v>
      </c>
      <c r="D13" t="n">
        <v>68.90000000000001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J5"/>
  <sheetViews>
    <sheetView workbookViewId="0">
      <selection activeCell="B2" sqref="B2:I3"/>
    </sheetView>
  </sheetViews>
  <sheetFormatPr baseColWidth="8" defaultColWidth="9.16666666666667" defaultRowHeight="14" outlineLevelRow="4"/>
  <cols>
    <col customWidth="1" max="1" min="1" style="1" width="10.5"/>
    <col customWidth="1" max="16384" min="2" style="1" width="9.16666666666667"/>
  </cols>
  <sheetData>
    <row r="1">
      <c r="A1" s="1" t="inlineStr">
        <is>
          <t>Frequency</t>
        </is>
      </c>
      <c r="B1" s="1" t="inlineStr">
        <is>
          <t>Mondeo</t>
        </is>
      </c>
      <c r="C1" s="1" t="inlineStr">
        <is>
          <t>Giulia</t>
        </is>
      </c>
      <c r="D1" s="1" t="inlineStr">
        <is>
          <t>Focus</t>
        </is>
      </c>
      <c r="E1" s="1" t="inlineStr">
        <is>
          <t>Fiesta</t>
        </is>
      </c>
      <c r="F1" s="1" t="inlineStr">
        <is>
          <t>C Class</t>
        </is>
      </c>
      <c r="G1" s="1" t="inlineStr">
        <is>
          <t>E Class</t>
        </is>
      </c>
      <c r="H1" s="1" t="inlineStr">
        <is>
          <t>Cayman S</t>
        </is>
      </c>
      <c r="I1" s="1" t="inlineStr">
        <is>
          <t>Transit</t>
        </is>
      </c>
      <c r="J1" t="inlineStr">
        <is>
          <t>Person</t>
        </is>
      </c>
    </row>
    <row r="2">
      <c r="A2" s="1" t="inlineStr">
        <is>
          <t>Mr Smith</t>
        </is>
      </c>
      <c r="B2" s="1" t="n">
        <v>7500</v>
      </c>
      <c r="C2" s="1" t="n">
        <v>22000</v>
      </c>
      <c r="D2" s="1">
        <f ref="D2" t="array">IFERROR(INDEX(Extract!$C$2:$C$13,MATCH(1,INDEX(((Extract!$A$2:$A$13='Desired Result'!$A2)*(Extract!$B$2:$B$13='Desired Result'!D$1)),0),0)),"")</f>
        <v/>
      </c>
      <c r="E2" s="1">
        <f ref="E2" t="array">IFERROR(INDEX(Extract!$C$2:$C$13,MATCH(1,INDEX(((Extract!$A$2:$A$13='Desired Result'!$A2)*(Extract!$B$2:$B$13='Desired Result'!E$1)),0),0)),"")</f>
        <v/>
      </c>
      <c r="F2" s="1">
        <f ref="F2" t="array">IFERROR(INDEX(Extract!$C$2:$C$13,MATCH(1,INDEX(((Extract!$A$2:$A$13='Desired Result'!$A2)*(Extract!$B$2:$B$13='Desired Result'!F$1)),0),0)),"")</f>
        <v/>
      </c>
      <c r="G2" s="1">
        <f ref="G2" t="array">IFERROR(INDEX(Extract!$C$2:$C$13,MATCH(1,INDEX(((Extract!$A$2:$A$13='Desired Result'!$A2)*(Extract!$B$2:$B$13='Desired Result'!G$1)),0),0)),"")</f>
        <v/>
      </c>
      <c r="H2" s="1">
        <f ref="H2" t="array">IFERROR(INDEX(Extract!$C$2:$C$13,MATCH(1,INDEX(((Extract!$A$2:$A$13='Desired Result'!$A2)*(Extract!$B$2:$B$13='Desired Result'!H$1)),0),0)),"")</f>
        <v/>
      </c>
      <c r="I2" s="1">
        <f ref="I2" t="array">IFERROR(INDEX(Extract!$C$2:$C$13,MATCH(1,INDEX(((Extract!$A$2:$A$13='Desired Result'!$A2)*(Extract!$B$2:$B$13='Desired Result'!I$1)),0),0)),"")</f>
        <v/>
      </c>
      <c r="J2" t="n">
        <v>55.48</v>
      </c>
    </row>
    <row r="3">
      <c r="A3" s="1" t="inlineStr">
        <is>
          <t>Mr Smith 2</t>
        </is>
      </c>
      <c r="B3" s="1">
        <f ref="B3" t="array">IFERROR(INDEX(Extract!$C$2:$C$13,MATCH(1,INDEX(((Extract!$A$2:$A$13='Desired Result'!$A3)*(Extract!$B$2:$B$13='Desired Result'!B$1)),0),0)),"")</f>
        <v/>
      </c>
      <c r="C3" s="1">
        <f ref="C3" t="array">IFERROR(INDEX(Extract!$C$2:$C$13,MATCH(1,INDEX(((Extract!$A$2:$A$13='Desired Result'!$A3)*(Extract!$B$2:$B$13='Desired Result'!C$1)),0),0)),"")</f>
        <v/>
      </c>
      <c r="D3" s="1" t="n">
        <v>4000</v>
      </c>
      <c r="E3" s="1" t="n">
        <v>3000</v>
      </c>
      <c r="F3" s="1" t="n">
        <v>17000</v>
      </c>
      <c r="G3" s="1">
        <f ref="G3" t="array">IFERROR(INDEX(Extract!$C$2:$C$13,MATCH(1,INDEX(((Extract!$A$2:$A$13='Desired Result'!$A3)*(Extract!$B$2:$B$13='Desired Result'!G$1)),0),0)),"")</f>
        <v/>
      </c>
      <c r="H3" s="1">
        <f ref="H3" t="array">IFERROR(INDEX(Extract!$C$2:$C$13,MATCH(1,INDEX(((Extract!$A$2:$A$13='Desired Result'!$A3)*(Extract!$B$2:$B$13='Desired Result'!H$1)),0),0)),"")</f>
        <v/>
      </c>
      <c r="I3" s="1">
        <f ref="I3" t="array">IFERROR(INDEX(Extract!$C$2:$C$13,MATCH(1,INDEX(((Extract!$A$2:$A$13='Desired Result'!$A3)*(Extract!$B$2:$B$13='Desired Result'!I$1)),0),0)),"")</f>
        <v/>
      </c>
      <c r="J3" t="n">
        <v>-42.21</v>
      </c>
    </row>
    <row r="4">
      <c r="A4" s="1" t="inlineStr">
        <is>
          <t>Mr Smith 3</t>
        </is>
      </c>
      <c r="B4" s="1">
        <f ref="B4" t="array">IFERROR(INDEX(Extract!$C$2:$C$13,MATCH(1,INDEX(((Extract!$A$2:$A$13='Desired Result'!$A4)*(Extract!$B$2:$B$13='Desired Result'!B$1)),0),0)),"")</f>
        <v/>
      </c>
      <c r="C4" s="1" t="n">
        <v>28000</v>
      </c>
      <c r="D4" s="1" t="n">
        <v>4500</v>
      </c>
      <c r="E4" s="1" t="n">
        <v>2000</v>
      </c>
      <c r="F4" s="1">
        <f ref="F4" t="array">IFERROR(INDEX(Extract!$C$2:$C$13,MATCH(1,INDEX(((Extract!$A$2:$A$13='Desired Result'!$A4)*(Extract!$B$2:$B$13='Desired Result'!F$1)),0),0)),"")</f>
        <v/>
      </c>
      <c r="G4" s="1" t="n">
        <v>15000</v>
      </c>
      <c r="H4" s="1">
        <f ref="H4" t="array">IFERROR(INDEX(Extract!$C$2:$C$13,MATCH(1,INDEX(((Extract!$A$2:$A$13='Desired Result'!$A4)*(Extract!$B$2:$B$13='Desired Result'!H$1)),0),0)),"")</f>
        <v/>
      </c>
      <c r="I4" s="1">
        <f ref="I4" t="array">IFERROR(INDEX(Extract!$C$2:$C$13,MATCH(1,INDEX(((Extract!$A$2:$A$13='Desired Result'!$A4)*(Extract!$B$2:$B$13='Desired Result'!I$1)),0),0)),"")</f>
        <v/>
      </c>
      <c r="J4" t="n">
        <v>-47.58</v>
      </c>
    </row>
    <row r="5">
      <c r="A5" s="1" t="inlineStr">
        <is>
          <t>Mr Smith 4</t>
        </is>
      </c>
      <c r="B5" s="1">
        <f ref="B5" t="array">IFERROR(INDEX(Extract!$C$2:$C$13,MATCH(1,INDEX(((Extract!$A$2:$A$13='Desired Result'!$A5)*(Extract!$B$2:$B$13='Desired Result'!B$1)),0),0)),"")</f>
        <v/>
      </c>
      <c r="C5" s="1">
        <f ref="C5" t="array">IFERROR(INDEX(Extract!$C$2:$C$13,MATCH(1,INDEX(((Extract!$A$2:$A$13='Desired Result'!$A5)*(Extract!$B$2:$B$13='Desired Result'!C$1)),0),0)),"")</f>
        <v/>
      </c>
      <c r="D5" s="1" t="n">
        <v>10000</v>
      </c>
      <c r="E5" s="1">
        <f ref="E5" t="array">IFERROR(INDEX(Extract!$C$2:$C$13,MATCH(1,INDEX(((Extract!$A$2:$A$13='Desired Result'!$A5)*(Extract!$B$2:$B$13='Desired Result'!E$1)),0),0)),"")</f>
        <v/>
      </c>
      <c r="F5" s="1">
        <f ref="F5" t="array">IFERROR(INDEX(Extract!$C$2:$C$13,MATCH(1,INDEX(((Extract!$A$2:$A$13='Desired Result'!$A5)*(Extract!$B$2:$B$13='Desired Result'!F$1)),0),0)),"")</f>
        <v/>
      </c>
      <c r="G5" s="1">
        <f ref="G5" t="array">IFERROR(INDEX(Extract!$C$2:$C$13,MATCH(1,INDEX(((Extract!$A$2:$A$13='Desired Result'!$A5)*(Extract!$B$2:$B$13='Desired Result'!G$1)),0),0)),"")</f>
        <v/>
      </c>
      <c r="H5" s="1" t="n">
        <v>47000</v>
      </c>
      <c r="I5" s="1" t="n">
        <v>6500</v>
      </c>
      <c r="J5" t="n">
        <v>79.28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Paul Harper</dc:creator>
  <dcterms:created xsi:type="dcterms:W3CDTF">2020-11-17T16:59:00Z</dcterms:created>
  <dcterms:modified xsi:type="dcterms:W3CDTF">2026-05-29T00:38:24Z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84650DB6FD7E4A1AA3CD80C696E695DE_12</vt:lpwstr>
  </property>
  <property fmtid="{D5CDD505-2E9C-101B-9397-08002B2CF9AE}" name="KSOProductBuildVer" pid="3">
    <vt:lpwstr>2052-12.1.0.16729</vt:lpwstr>
  </property>
</Properties>
</file>