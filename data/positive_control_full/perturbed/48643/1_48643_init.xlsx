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€-413]\ #,##0.00" numFmtId="164"/>
    <numFmt formatCode="0.0%" numFmtId="165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0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1" fillId="0" fontId="8" numFmtId="0">
      <alignment vertical="center"/>
    </xf>
    <xf applyAlignment="1" borderId="11" fillId="0" fontId="9" numFmtId="0">
      <alignment vertical="center"/>
    </xf>
    <xf applyAlignment="1" borderId="12" fillId="0" fontId="10" numFmtId="0">
      <alignment vertical="center"/>
    </xf>
    <xf applyAlignment="1" borderId="0" fillId="0" fontId="10" numFmtId="0">
      <alignment vertical="center"/>
    </xf>
    <xf applyAlignment="1" borderId="13" fillId="4" fontId="11" numFmtId="0">
      <alignment vertical="center"/>
    </xf>
    <xf applyAlignment="1" borderId="14" fillId="5" fontId="12" numFmtId="0">
      <alignment vertical="center"/>
    </xf>
    <xf applyAlignment="1" borderId="13" fillId="5" fontId="13" numFmtId="0">
      <alignment vertical="center"/>
    </xf>
    <xf applyAlignment="1" borderId="15" fillId="6" fontId="14" numFmtId="0">
      <alignment vertical="center"/>
    </xf>
    <xf applyAlignment="1" borderId="16" fillId="0" fontId="15" numFmtId="0">
      <alignment vertical="center"/>
    </xf>
    <xf applyAlignment="1" borderId="17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35">
    <xf borderId="0" fillId="0" fontId="0" numFmtId="0" pivotButton="0" quotePrefix="0" xfId="0"/>
    <xf borderId="0" fillId="0" fontId="0" numFmtId="164" pivotButton="0" quotePrefix="0" xfId="0"/>
    <xf borderId="0" fillId="0" fontId="0" numFmtId="9" pivotButton="0" quotePrefix="0" xfId="3"/>
    <xf borderId="0" fillId="0" fontId="0" numFmtId="165" pivotButton="0" quotePrefix="0" xfId="3"/>
    <xf applyAlignment="1" borderId="1" fillId="0" fontId="1" numFmtId="0" pivotButton="0" quotePrefix="0" xfId="0">
      <alignment horizontal="left" vertical="center"/>
    </xf>
    <xf applyAlignment="1" borderId="2" fillId="0" fontId="1" numFmtId="164" pivotButton="0" quotePrefix="0" xfId="0">
      <alignment horizontal="left" vertical="center"/>
    </xf>
    <xf applyAlignment="1" borderId="2" fillId="0" fontId="1" numFmtId="9" pivotButton="0" quotePrefix="0" xfId="3">
      <alignment horizontal="left" vertical="center"/>
    </xf>
    <xf applyAlignment="1" borderId="2" fillId="0" fontId="1" numFmtId="165" pivotButton="0" quotePrefix="0" xfId="3">
      <alignment horizontal="left" vertical="center"/>
    </xf>
    <xf applyAlignment="1" borderId="2" fillId="0" fontId="1" numFmtId="0" pivotButton="0" quotePrefix="0" xfId="0">
      <alignment horizontal="left" vertical="center"/>
    </xf>
    <xf borderId="3" fillId="0" fontId="1" numFmtId="0" pivotButton="0" quotePrefix="0" xfId="0"/>
    <xf borderId="0" fillId="2" fontId="1" numFmtId="0" pivotButton="0" quotePrefix="0" xfId="0"/>
    <xf applyAlignment="1" borderId="4" fillId="0" fontId="0" numFmtId="0" pivotButton="0" quotePrefix="0" xfId="0">
      <alignment horizontal="left" vertical="center"/>
    </xf>
    <xf borderId="5" fillId="0" fontId="0" numFmtId="164" pivotButton="0" quotePrefix="0" xfId="0"/>
    <xf borderId="5" fillId="0" fontId="0" numFmtId="9" pivotButton="0" quotePrefix="0" xfId="3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applyAlignment="1" borderId="7" fillId="0" fontId="0" numFmtId="0" pivotButton="0" quotePrefix="0" xfId="0">
      <alignment horizontal="left" vertical="center"/>
    </xf>
    <xf borderId="8" fillId="0" fontId="0" numFmtId="164" pivotButton="0" quotePrefix="0" xfId="0"/>
    <xf borderId="8" fillId="0" fontId="0" numFmtId="9" pivotButton="0" quotePrefix="0" xfId="3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  <xf borderId="0" fillId="0" fontId="0" numFmtId="164" pivotButton="0" quotePrefix="0" xfId="0"/>
    <xf borderId="0" fillId="0" fontId="0" numFmtId="165" pivotButton="0" quotePrefix="0" xfId="3"/>
    <xf applyAlignment="1" borderId="2" fillId="0" fontId="1" numFmtId="164" pivotButton="0" quotePrefix="0" xfId="0">
      <alignment horizontal="left" vertical="center"/>
    </xf>
    <xf applyAlignment="1" borderId="2" fillId="0" fontId="1" numFmtId="165" pivotButton="0" quotePrefix="0" xfId="3">
      <alignment horizontal="left" vertical="center"/>
    </xf>
    <xf borderId="5" fillId="0" fontId="0" numFmtId="164" pivotButton="0" quotePrefix="0" xfId="0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borderId="8" fillId="0" fontId="0" numFmtId="164" pivotButton="0" quotePrefix="0" xfId="0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0.0%" numFmtId="177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F40" totalsRowShown="0">
  <autoFilter ref="A1:F40"/>
  <tableColumns count="6">
    <tableColumn dataDxfId="0" id="1" name="Year"/>
    <tableColumn dataDxfId="1" id="2" name="Deposit"/>
    <tableColumn dataDxfId="2" id="3" name="Efficiency"/>
    <tableColumn dataDxfId="3" id="4" name="Inflation"/>
    <tableColumn dataDxfId="4" id="5" name="Efficiency amount">
      <calculatedColumnFormula>B2*C2</calculatedColumnFormula>
    </tableColumn>
    <tableColumn dataDxfId="5" id="6" name="End amount">
      <calculatedColumnFormula>(1+C2)*B2</calculatedColumnFormula>
    </tableColumn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0"/>
  <sheetViews>
    <sheetView tabSelected="1" workbookViewId="0">
      <selection activeCell="H2" sqref="H2"/>
    </sheetView>
  </sheetViews>
  <sheetFormatPr baseColWidth="8" defaultColWidth="9" defaultRowHeight="14"/>
  <cols>
    <col customWidth="1" max="1" min="1" width="7.10833333333333"/>
    <col customWidth="1" max="2" min="2" style="23" width="12.4416666666667"/>
    <col customWidth="1" max="3" min="3" style="2" width="11"/>
    <col customWidth="1" max="4" min="4" style="24" width="10"/>
    <col customWidth="1" max="5" min="5" width="20.775"/>
    <col customWidth="1" max="6" min="6" width="13.2166666666667"/>
    <col customWidth="1" max="8" min="8" width="10.775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Batch</t>
        </is>
      </c>
      <c r="F1" s="9" t="inlineStr">
        <is>
          <t>Flag</t>
        </is>
      </c>
      <c r="H1" s="10" t="inlineStr">
        <is>
          <t>Cycle</t>
        </is>
      </c>
      <c r="I1" t="inlineStr">
        <is>
          <t>Efficiency amount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I2" t="n">
        <v>-96.18000000000001</v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I3" t="n">
        <v>-67.03</v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I4" t="n">
        <v>-47.15</v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I5" t="n">
        <v>-48.25</v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I6" t="n">
        <v>-90.56999999999999</v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I7" t="n">
        <v>-89.04000000000001</v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I8" t="n">
        <v>-2.83</v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I9" t="n">
        <v>83.98</v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I10" t="n">
        <v>-64.8</v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I11" t="n">
        <v>79.68000000000001</v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I12" t="n">
        <v>24.65</v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I13" t="n">
        <v>66.81999999999999</v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I14" t="n">
        <v>-85.48999999999999</v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I15" t="n">
        <v>-7.7</v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I16" t="n">
        <v>-5.48</v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I17" t="n">
        <v>-21.67</v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I18" t="n">
        <v>35.93</v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I19" t="n">
        <v>-27.59</v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I20" t="n">
        <v>77.62</v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I21" t="n">
        <v>-22.07</v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I22" t="n">
        <v>34.26</v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I23" t="n">
        <v>-98.58</v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I24" t="n">
        <v>10.12</v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I25" t="n">
        <v>-60.48</v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I26" t="n">
        <v>11</v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I27" t="n">
        <v>53.72</v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I28" t="n">
        <v>3.87</v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I29" t="n">
        <v>-79.83</v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I30" t="n">
        <v>9.699999999999999</v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I31" t="n">
        <v>10.92</v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I32" t="n">
        <v>-24.43</v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I33" t="n">
        <v>-37.06</v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I34" t="n">
        <v>-63.91</v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I35" t="n">
        <v>-62.24</v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I36" t="n">
        <v>-87.97</v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I37" t="n">
        <v>-82.14</v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I38" t="n">
        <v>40.59</v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I39" t="n">
        <v>35.02</v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I40" t="n">
        <v>18.06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Luuk van Paridon</dc:creator>
  <dcterms:created xsi:type="dcterms:W3CDTF">2021-12-18T16:52:00Z</dcterms:created>
  <dcterms:modified xsi:type="dcterms:W3CDTF">2026-05-29T00:38:00Z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2CFC3380F83C4378A9519F181AF5AF97_12</vt:lpwstr>
  </property>
  <property fmtid="{D5CDD505-2E9C-101B-9397-08002B2CF9AE}" name="KSOProductBuildVer" pid="3">
    <vt:lpwstr>2052-12.1.0.16729</vt:lpwstr>
  </property>
</Properties>
</file>