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Inventory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formatCode="_ * #,##0.00_ ;_ * \-#,##0.00_ ;_ * &quot;-&quot;??_ ;_ @_ " numFmtId="164"/>
  </numFmts>
  <fonts count="6">
    <font>
      <name val="宋体"/>
      <charset val="177"/>
      <family val="2"/>
      <color theme="1"/>
      <sz val="11"/>
      <scheme val="minor"/>
    </font>
    <font>
      <name val="宋体"/>
      <charset val="177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77"/>
      <family val="2"/>
      <color theme="1"/>
      <sz val="10"/>
      <scheme val="minor"/>
    </font>
    <font>
      <name val="宋体"/>
      <family val="2"/>
      <b val="1"/>
      <color theme="1"/>
      <sz val="10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1" numFmtId="0"/>
    <xf borderId="0" fillId="0" fontId="1" numFmtId="43"/>
  </cellStyleXfs>
  <cellXfs count="16">
    <xf borderId="0" fillId="0" fontId="0" numFmtId="0" pivotButton="0" quotePrefix="0" xfId="0"/>
    <xf borderId="0" fillId="0" fontId="0" numFmtId="0" pivotButton="0" quotePrefix="0" xfId="1"/>
    <xf applyAlignment="1" borderId="0" fillId="0" fontId="0" numFmtId="164" pivotButton="0" quotePrefix="0" xfId="1">
      <alignment horizontal="center"/>
    </xf>
    <xf applyAlignment="1" borderId="0" fillId="2" fontId="3" numFmtId="0" pivotButton="0" quotePrefix="0" xfId="1">
      <alignment horizontal="left"/>
    </xf>
    <xf applyAlignment="1" borderId="0" fillId="2" fontId="3" numFmtId="164" pivotButton="0" quotePrefix="0" xfId="1">
      <alignment horizontal="left"/>
    </xf>
    <xf applyAlignment="1" borderId="0" fillId="2" fontId="4" numFmtId="0" pivotButton="0" quotePrefix="0" xfId="1">
      <alignment horizontal="center"/>
    </xf>
    <xf applyAlignment="1" borderId="0" fillId="2" fontId="4" numFmtId="164" pivotButton="0" quotePrefix="0" xfId="1">
      <alignment horizontal="center"/>
    </xf>
    <xf borderId="0" fillId="3" fontId="0" numFmtId="0" pivotButton="0" quotePrefix="0" xfId="0"/>
    <xf applyAlignment="1" borderId="0" fillId="3" fontId="4" numFmtId="0" pivotButton="0" quotePrefix="0" xfId="1">
      <alignment horizontal="center"/>
    </xf>
    <xf applyAlignment="1" borderId="0" fillId="3" fontId="0" numFmtId="0" pivotButton="0" quotePrefix="0" xfId="0">
      <alignment horizontal="center"/>
    </xf>
    <xf applyAlignment="1" borderId="0" fillId="3" fontId="4" numFmtId="164" pivotButton="0" quotePrefix="0" xfId="1">
      <alignment horizontal="center"/>
    </xf>
    <xf borderId="0" fillId="3" fontId="2" numFmtId="0" pivotButton="0" quotePrefix="0" xfId="0"/>
    <xf applyAlignment="1" borderId="0" fillId="0" fontId="0" numFmtId="164" pivotButton="0" quotePrefix="0" xfId="1">
      <alignment horizontal="center"/>
    </xf>
    <xf applyAlignment="1" borderId="0" fillId="3" fontId="4" numFmtId="164" pivotButton="0" quotePrefix="0" xfId="1">
      <alignment horizontal="center"/>
    </xf>
    <xf applyAlignment="1" borderId="0" fillId="2" fontId="4" numFmtId="164" pivotButton="0" quotePrefix="0" xfId="1">
      <alignment horizontal="center"/>
    </xf>
    <xf applyAlignment="1" borderId="0" fillId="2" fontId="3" numFmtId="164" pivotButton="0" quotePrefix="0" xfId="1">
      <alignment horizontal="left"/>
    </xf>
  </cellXfs>
  <cellStyles count="2">
    <cellStyle builtinId="0" name="常规" xfId="0"/>
    <cellStyle builtinId="3" name="千位分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C3" sqref="C3"/>
    </sheetView>
  </sheetViews>
  <sheetFormatPr baseColWidth="8" defaultRowHeight="13.5"/>
  <cols>
    <col bestFit="1" customWidth="1" max="9" min="9" width="9.875"/>
  </cols>
  <sheetData>
    <row r="1">
      <c r="A1" s="11" t="inlineStr">
        <is>
          <t>Delta</t>
        </is>
      </c>
      <c r="B1" s="7" t="n"/>
      <c r="C1" s="7" t="n"/>
      <c r="G1" s="1" t="inlineStr">
        <is>
          <t>Volume</t>
        </is>
      </c>
      <c r="H1" s="1" t="n"/>
      <c r="I1" s="12" t="n"/>
      <c r="J1" t="inlineStr">
        <is>
          <t>Requested table</t>
        </is>
      </c>
    </row>
    <row r="2">
      <c r="A2" s="8" t="inlineStr">
        <is>
          <t>Stock</t>
        </is>
      </c>
      <c r="B2" s="9" t="inlineStr">
        <is>
          <t>Year</t>
        </is>
      </c>
      <c r="C2" s="13" t="inlineStr">
        <is>
          <t>Log Value</t>
        </is>
      </c>
      <c r="G2" s="5" t="inlineStr">
        <is>
          <t>Year</t>
        </is>
      </c>
      <c r="H2" s="5" t="inlineStr">
        <is>
          <t>Stock</t>
        </is>
      </c>
      <c r="I2" s="14" t="inlineStr">
        <is>
          <t>Log Value</t>
        </is>
      </c>
      <c r="J2" t="n">
        <v>53.39</v>
      </c>
    </row>
    <row r="3">
      <c r="A3" s="7" t="n">
        <v>102012</v>
      </c>
      <c r="B3" s="7" t="n">
        <v>2012</v>
      </c>
      <c r="C3" s="7">
        <f>SUMIFS(I:I,G:G,B3,H:H,A3)</f>
        <v/>
      </c>
      <c r="G3" s="3" t="n">
        <v>2012</v>
      </c>
      <c r="H3" s="3" t="n">
        <v>102012</v>
      </c>
      <c r="I3" s="15" t="n">
        <v>4.269400429118602</v>
      </c>
      <c r="J3" t="n">
        <v>-16.68</v>
      </c>
    </row>
    <row r="4">
      <c r="A4" s="7" t="n">
        <v>102012</v>
      </c>
      <c r="B4" s="7" t="n">
        <v>2011</v>
      </c>
      <c r="C4" s="7">
        <f>SUMIFS(I:I,G:G,B4,H:H,A4)</f>
        <v/>
      </c>
      <c r="G4" s="3" t="n">
        <v>2011</v>
      </c>
      <c r="H4" s="3" t="n">
        <v>102012</v>
      </c>
      <c r="I4" s="15" t="n">
        <v>5.447239242456993</v>
      </c>
      <c r="J4" t="n">
        <v>27.8</v>
      </c>
    </row>
    <row r="5">
      <c r="A5" s="7" t="n">
        <v>102012</v>
      </c>
      <c r="B5" s="7" t="n">
        <v>2010</v>
      </c>
      <c r="C5" s="7">
        <f>SUMIFS(I:I,G:G,B5,H:H,A5)</f>
        <v/>
      </c>
      <c r="G5" s="3" t="n">
        <v>2010</v>
      </c>
      <c r="H5" s="3" t="n">
        <v>102012</v>
      </c>
      <c r="I5" s="15" t="n">
        <v>5.122516428202356</v>
      </c>
      <c r="J5" t="n">
        <v>-0.39</v>
      </c>
    </row>
    <row r="6">
      <c r="A6" s="7" t="n">
        <v>102012</v>
      </c>
      <c r="B6" s="7" t="n">
        <v>2009</v>
      </c>
      <c r="C6" s="7">
        <f>SUMIFS(I:I,G:G,B6,H:H,A6)</f>
        <v/>
      </c>
      <c r="G6" s="3" t="n">
        <v>2009</v>
      </c>
      <c r="H6" s="3" t="n">
        <v>102012</v>
      </c>
      <c r="I6" s="15" t="inlineStr"/>
      <c r="J6" t="n">
        <v>25.43</v>
      </c>
    </row>
    <row r="7">
      <c r="A7" s="7" t="n">
        <v>102012</v>
      </c>
      <c r="B7" s="7" t="n">
        <v>2008</v>
      </c>
      <c r="C7" s="7">
        <f>SUMIFS(I:I,G:G,B7,H:H,A7)</f>
        <v/>
      </c>
      <c r="G7" s="3" t="n">
        <v>2014</v>
      </c>
      <c r="H7" s="3" t="n">
        <v>103010</v>
      </c>
      <c r="I7" s="15" t="inlineStr"/>
      <c r="J7" t="n">
        <v>-42.07</v>
      </c>
    </row>
    <row r="8">
      <c r="A8" s="7" t="n">
        <v>102012</v>
      </c>
      <c r="B8" s="7" t="n">
        <v>2007</v>
      </c>
      <c r="C8" s="7">
        <f>SUMIFS(I:I,G:G,B8,H:H,A8)</f>
        <v/>
      </c>
      <c r="G8" s="3" t="n">
        <v>2013</v>
      </c>
      <c r="H8" s="3" t="n">
        <v>103010</v>
      </c>
      <c r="I8" s="15" t="inlineStr"/>
      <c r="J8" t="n">
        <v>91.33</v>
      </c>
    </row>
    <row r="9">
      <c r="A9" s="7" t="n">
        <v>102012</v>
      </c>
      <c r="B9" s="7" t="n">
        <v>2006</v>
      </c>
      <c r="C9" s="7">
        <f>SUMIFS(I:I,G:G,B9,H:H,A9)</f>
        <v/>
      </c>
      <c r="G9" s="3" t="n">
        <v>2012</v>
      </c>
      <c r="H9" s="3" t="n">
        <v>103010</v>
      </c>
      <c r="I9" s="15" t="inlineStr"/>
      <c r="J9" t="n">
        <v>-3.41</v>
      </c>
    </row>
    <row r="10">
      <c r="A10" s="7" t="n">
        <v>102012</v>
      </c>
      <c r="B10" s="7" t="n">
        <v>2005</v>
      </c>
      <c r="C10" s="7">
        <f>SUMIFS(I:I,G:G,B10,H:H,A10)</f>
        <v/>
      </c>
      <c r="G10" s="3" t="n">
        <v>2011</v>
      </c>
      <c r="H10" s="3" t="n">
        <v>103010</v>
      </c>
      <c r="I10" s="15" t="n">
        <v>3.736758565225418</v>
      </c>
      <c r="J10" t="n">
        <v>60.94</v>
      </c>
    </row>
    <row r="11">
      <c r="A11" s="7" t="n">
        <v>102012</v>
      </c>
      <c r="B11" s="7" t="n">
        <v>2004</v>
      </c>
      <c r="C11" s="7">
        <f>SUMIFS(I:I,G:G,B11,H:H,A11)</f>
        <v/>
      </c>
      <c r="G11" s="3" t="n">
        <v>2010</v>
      </c>
      <c r="H11" s="3" t="n">
        <v>103010</v>
      </c>
      <c r="I11" s="15" t="n">
        <v>4.749405305113155</v>
      </c>
      <c r="J11" t="n">
        <v>37</v>
      </c>
    </row>
    <row r="12">
      <c r="A12" s="7" t="n">
        <v>103010</v>
      </c>
      <c r="B12" s="7" t="n">
        <v>2014</v>
      </c>
      <c r="C12" s="7">
        <f>SUMIFS(I:I,G:G,B12,H:H,A12)</f>
        <v/>
      </c>
      <c r="G12" s="3" t="n">
        <v>2009</v>
      </c>
      <c r="H12" s="3" t="n">
        <v>103010</v>
      </c>
      <c r="I12" s="15" t="inlineStr"/>
      <c r="J12" t="n">
        <v>-40.51</v>
      </c>
    </row>
    <row r="13">
      <c r="A13" s="7" t="n">
        <v>103010</v>
      </c>
      <c r="B13" s="7" t="n">
        <v>2013</v>
      </c>
      <c r="C13" s="7">
        <f>SUMIFS(I:I,G:G,B13,H:H,A13)</f>
        <v/>
      </c>
      <c r="G13" s="3" t="n">
        <v>2008</v>
      </c>
      <c r="H13" s="3" t="n">
        <v>103010</v>
      </c>
      <c r="I13" s="15" t="n">
        <v>4.234269879634611</v>
      </c>
      <c r="J13" t="n">
        <v>-85.41</v>
      </c>
    </row>
    <row r="14">
      <c r="A14" s="7" t="n">
        <v>103010</v>
      </c>
      <c r="B14" s="7" t="n">
        <v>2012</v>
      </c>
      <c r="C14" s="7">
        <f>SUMIFS(I:I,G:G,B14,H:H,A14)</f>
        <v/>
      </c>
      <c r="G14" s="3" t="n">
        <v>2007</v>
      </c>
      <c r="H14" s="3" t="n">
        <v>103010</v>
      </c>
      <c r="I14" s="15" t="n">
        <v>3.532638582569494</v>
      </c>
      <c r="J14" t="n">
        <v>-88.02</v>
      </c>
    </row>
    <row r="15">
      <c r="A15" s="7" t="n">
        <v>103010</v>
      </c>
      <c r="B15" s="7" t="n">
        <v>2011</v>
      </c>
      <c r="C15" s="7">
        <f>SUMIFS(I:I,G:G,B15,H:H,A15)</f>
        <v/>
      </c>
      <c r="G15" s="3" t="n">
        <v>2006</v>
      </c>
      <c r="H15" s="3" t="n">
        <v>103010</v>
      </c>
      <c r="I15" s="15" t="n">
        <v>3.849745975150491</v>
      </c>
      <c r="J15" t="n">
        <v>-12.08</v>
      </c>
    </row>
    <row r="16">
      <c r="A16" s="7" t="n">
        <v>103010</v>
      </c>
      <c r="B16" s="7" t="n">
        <v>2010</v>
      </c>
      <c r="C16" s="7">
        <f>SUMIFS(I:I,G:G,B16,H:H,A16)</f>
        <v/>
      </c>
      <c r="G16" s="3" t="n">
        <v>2011</v>
      </c>
      <c r="H16" s="3" t="n">
        <v>104010</v>
      </c>
      <c r="I16" s="15" t="n">
        <v>3.739029046765915</v>
      </c>
      <c r="J16" t="n">
        <v>-3.15</v>
      </c>
    </row>
    <row r="17">
      <c r="A17" s="7" t="n">
        <v>103010</v>
      </c>
      <c r="B17" s="7" t="n">
        <v>2009</v>
      </c>
      <c r="C17" s="7">
        <f>SUMIFS(I:I,G:G,B17,H:H,A17)</f>
        <v/>
      </c>
      <c r="G17" s="3" t="n">
        <v>2010</v>
      </c>
      <c r="H17" s="3" t="n">
        <v>104010</v>
      </c>
      <c r="I17" s="15" t="n">
        <v>3.974323246848726</v>
      </c>
      <c r="J17" t="n">
        <v>-59.2</v>
      </c>
    </row>
    <row r="18">
      <c r="A18" s="7" t="n">
        <v>103010</v>
      </c>
      <c r="B18" s="7" t="n">
        <v>2008</v>
      </c>
      <c r="C18" s="7">
        <f>SUMIFS(I:I,G:G,B18,H:H,A18)</f>
        <v/>
      </c>
      <c r="G18" s="3" t="n">
        <v>2009</v>
      </c>
      <c r="H18" s="3" t="n">
        <v>104010</v>
      </c>
      <c r="I18" s="15" t="n">
        <v>6.43538379836063</v>
      </c>
      <c r="J18" t="n">
        <v>21.33</v>
      </c>
    </row>
    <row r="19">
      <c r="A19" s="7" t="n">
        <v>103010</v>
      </c>
      <c r="B19" s="7" t="n">
        <v>2007</v>
      </c>
      <c r="C19" s="7">
        <f>SUMIFS(I:I,G:G,B19,H:H,A19)</f>
        <v/>
      </c>
      <c r="J19" t="n">
        <v>-37.48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חדוה יוסף</dc:creator>
  <dcterms:created xsi:type="dcterms:W3CDTF">2018-03-08T06:39:30Z</dcterms:created>
  <dcterms:modified xsi:type="dcterms:W3CDTF">2026-05-07T22:44:13Z</dcterms:modified>
  <cp:lastModifiedBy>阳 周</cp:lastModifiedBy>
</cp:coreProperties>
</file>