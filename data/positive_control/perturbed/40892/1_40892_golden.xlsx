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shbo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3" fontId="12" numFmtId="0">
      <alignment vertical="center"/>
    </xf>
    <xf applyAlignment="1" borderId="5" fillId="4" fontId="13" numFmtId="0">
      <alignment vertical="center"/>
    </xf>
    <xf applyAlignment="1" borderId="4" fillId="4" fontId="14" numFmtId="0">
      <alignment vertical="center"/>
    </xf>
    <xf applyAlignment="1" borderId="6" fillId="5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C18" sqref="C18"/>
    </sheetView>
  </sheetViews>
  <sheetFormatPr baseColWidth="8" defaultColWidth="9" defaultRowHeight="14"/>
  <cols>
    <col customWidth="1" max="1" min="1" width="27.425"/>
    <col customWidth="1" max="2" min="2" width="42.7083333333333"/>
    <col customWidth="1" max="3" min="3" width="27.425"/>
  </cols>
  <sheetData>
    <row r="1">
      <c r="A1" s="1" t="inlineStr">
        <is>
          <t>Impact</t>
        </is>
      </c>
      <c r="B1" s="1" t="inlineStr">
        <is>
          <t>Marker</t>
        </is>
      </c>
      <c r="D1" s="2" t="inlineStr">
        <is>
          <t>Margin</t>
        </is>
      </c>
      <c r="E1" t="inlineStr">
        <is>
          <t>Product Name</t>
        </is>
      </c>
    </row>
    <row r="2">
      <c r="A2" t="inlineStr">
        <is>
          <t>Dress with red details</t>
        </is>
      </c>
      <c r="B2">
        <f ref="B2" t="array">IFERROR(LOOKUP(99999,SEARCH($D$2:$D$8,A2),$D$2:$D$8),"")</f>
        <v/>
      </c>
      <c r="D2" t="inlineStr">
        <is>
          <t>Colour</t>
        </is>
      </c>
      <c r="E2" t="n">
        <v>-39.94</v>
      </c>
    </row>
    <row r="3">
      <c r="A3" t="inlineStr">
        <is>
          <t>Jumper Gold</t>
        </is>
      </c>
      <c r="B3">
        <f ref="B3" t="array">IFERROR(LOOKUP(99999,SEARCH($D$2:$D$8,A3),$D$2:$D$8),"")</f>
        <v/>
      </c>
      <c r="D3" t="inlineStr">
        <is>
          <t>Red</t>
        </is>
      </c>
      <c r="E3" t="n">
        <v>14.1</v>
      </c>
    </row>
    <row r="4">
      <c r="A4" t="inlineStr">
        <is>
          <t>Red Jumper</t>
        </is>
      </c>
      <c r="B4">
        <f ref="B4" t="array">IFERROR(LOOKUP(99999,SEARCH($D$2:$D$8,A4),$D$2:$D$8),"")</f>
        <v/>
      </c>
      <c r="D4" t="inlineStr">
        <is>
          <t>Gold</t>
        </is>
      </c>
      <c r="E4" t="n">
        <v>13.81</v>
      </c>
    </row>
    <row r="5">
      <c r="A5" t="inlineStr">
        <is>
          <t>Blue Jumper</t>
        </is>
      </c>
      <c r="B5">
        <f ref="B5" t="array">IFERROR(LOOKUP(99999,SEARCH($D$2:$D$8,A5),$D$2:$D$8),"")</f>
        <v/>
      </c>
      <c r="D5" t="inlineStr">
        <is>
          <t>Red</t>
        </is>
      </c>
      <c r="E5" t="n">
        <v>-56.51</v>
      </c>
    </row>
    <row r="6">
      <c r="A6" t="inlineStr">
        <is>
          <t>Black Trousers</t>
        </is>
      </c>
      <c r="B6">
        <f ref="B6" t="array">IFERROR(LOOKUP(99999,SEARCH($D$2:$D$8,A6),$D$2:$D$8),"")</f>
        <v/>
      </c>
      <c r="D6" t="inlineStr">
        <is>
          <t>Blue</t>
        </is>
      </c>
      <c r="E6" t="n">
        <v>-84.56</v>
      </c>
    </row>
    <row r="7">
      <c r="A7" t="inlineStr">
        <is>
          <t>Dress with Red detail</t>
        </is>
      </c>
      <c r="B7">
        <f ref="B7" t="array">IFERROR(LOOKUP(99999,SEARCH($D$2:$D$8,A7),$D$2:$D$8),"")</f>
        <v/>
      </c>
      <c r="D7" t="inlineStr">
        <is>
          <t>Black</t>
        </is>
      </c>
      <c r="E7" t="n">
        <v>-35.06</v>
      </c>
    </row>
    <row r="8">
      <c r="A8" t="inlineStr">
        <is>
          <t>Orange Jumpsuits</t>
        </is>
      </c>
      <c r="B8">
        <f ref="B8" t="array">IFERROR(LOOKUP(99999,SEARCH($D$2:$D$8,A8),$D$2:$D$8),"")</f>
        <v/>
      </c>
      <c r="D8" t="inlineStr">
        <is>
          <t>Red</t>
        </is>
      </c>
      <c r="E8" t="n">
        <v>-3.49</v>
      </c>
    </row>
    <row r="9">
      <c r="A9" t="inlineStr">
        <is>
          <t>Yellow Jumpsuit</t>
        </is>
      </c>
      <c r="B9">
        <f ref="B9" t="array">IFERROR(LOOKUP(99999,SEARCH($D$2:$D$8,A9),$D$2:$D$8),"")</f>
        <v/>
      </c>
      <c r="E9" t="n">
        <v>-2.34</v>
      </c>
    </row>
    <row r="10">
      <c r="A10" t="inlineStr">
        <is>
          <t>Purple Scarf</t>
        </is>
      </c>
      <c r="B10">
        <f ref="B10" t="array">IFERROR(LOOKUP(99999,SEARCH($D$2:$D$8,A10),$D$2:$D$8),"")</f>
        <v/>
      </c>
      <c r="E10" t="n">
        <v>79.8</v>
      </c>
    </row>
    <row r="11">
      <c r="A11" t="inlineStr">
        <is>
          <t>Top Red</t>
        </is>
      </c>
      <c r="B11">
        <f ref="B11" t="array">IFERROR(LOOKUP(99999,SEARCH($D$2:$D$8,A11),$D$2:$D$8),"")</f>
        <v/>
      </c>
      <c r="E11" t="n">
        <v>40.57</v>
      </c>
    </row>
    <row r="12">
      <c r="A12" t="inlineStr">
        <is>
          <t xml:space="preserve">Trousers Black </t>
        </is>
      </c>
      <c r="B12">
        <f ref="B12" t="array">IFERROR(LOOKUP(99999,SEARCH($D$2:$D$8,A12),$D$2:$D$8),"")</f>
        <v/>
      </c>
      <c r="E12" t="n">
        <v>63.9</v>
      </c>
    </row>
    <row r="13">
      <c r="A13" t="inlineStr">
        <is>
          <t>Orange Jumpsuits</t>
        </is>
      </c>
      <c r="B13">
        <f ref="B13" t="array">IFERROR(LOOKUP(99999,SEARCH($D$2:$D$8,A13),$D$2:$D$8),"")</f>
        <v/>
      </c>
      <c r="E13" t="n">
        <v>-80.93000000000001</v>
      </c>
    </row>
    <row r="14">
      <c r="A14" t="inlineStr">
        <is>
          <t>Yellow Jumpsuit</t>
        </is>
      </c>
      <c r="B14">
        <f ref="B14" t="array">IFERROR(LOOKUP(99999,SEARCH($D$2:$D$8,A14),$D$2:$D$8),"")</f>
        <v/>
      </c>
      <c r="E14" t="n">
        <v>28.45</v>
      </c>
    </row>
    <row r="15">
      <c r="A15" t="inlineStr">
        <is>
          <t>Purple Scarf</t>
        </is>
      </c>
      <c r="B15">
        <f ref="B15" t="array">IFERROR(LOOKUP(99999,SEARCH($D$2:$D$8,A15),$D$2:$D$8),"")</f>
        <v/>
      </c>
      <c r="E15" t="n">
        <v>-92.53</v>
      </c>
    </row>
    <row r="16">
      <c r="A16" t="inlineStr">
        <is>
          <t>Top Red</t>
        </is>
      </c>
      <c r="B16">
        <f ref="B16" t="array">IFERROR(LOOKUP(99999,SEARCH($D$2:$D$8,A16),$D$2:$D$8),"")</f>
        <v/>
      </c>
      <c r="E16" t="n">
        <v>61.67</v>
      </c>
    </row>
    <row r="17">
      <c r="A17" t="inlineStr">
        <is>
          <t xml:space="preserve">Trousers Black </t>
        </is>
      </c>
      <c r="B17">
        <f ref="B17" t="array">IFERROR(LOOKUP(99999,SEARCH($D$2:$D$8,A17),$D$2:$D$8),"")</f>
        <v/>
      </c>
      <c r="E17" t="n">
        <v>-23.69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2022-10-23T12:43:00Z</dcterms:created>
  <dcterms:modified xsi:type="dcterms:W3CDTF">2026-05-07T22:44:18Z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8B2DBEAEB4554D4A91C88E60364369F9_12</vt:lpwstr>
  </property>
  <property fmtid="{D5CDD505-2E9C-101B-9397-08002B2CF9AE}" name="KSOProductBuildVer" pid="3">
    <vt:lpwstr>2052-12.1.0.16729</vt:lpwstr>
  </property>
</Properties>
</file>