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1" minimized="0" showHorizontalScroll="1" showSheetTabs="1" showVerticalScroll="1" tabRatio="600" visibility="visible" windowHeight="19500" windowWidth="38400" xWindow="0" yWindow="500"/>
  </bookViews>
  <sheets>
    <sheet name="Roster" sheetId="1" state="visible" r:id="rId1"/>
    <sheet name="Track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hh&quot;:&quot;mm&quot;:&quot;ss&quot; &quot;AM/PM" numFmtId="164"/>
  </numFmts>
  <fonts count="9">
    <font>
      <name val="Liberation Sans"/>
      <charset val="134"/>
      <color theme="1"/>
      <sz val="11"/>
    </font>
    <font>
      <name val="Liberation Sans"/>
      <charset val="134"/>
      <color rgb="FFCC0000"/>
      <sz val="10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b val="1"/>
      <i val="1"/>
      <color rgb="FF000000"/>
      <sz val="10"/>
      <u val="single"/>
    </font>
    <font>
      <name val="Liberation Sans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2">
    <xf borderId="0" fillId="0" fontId="8" numFmtId="0"/>
    <xf borderId="0" fillId="0" fontId="2" numFmtId="0"/>
    <xf borderId="0" fillId="2" fontId="3" numFmtId="0"/>
    <xf borderId="0" fillId="3" fontId="3" numFmtId="0"/>
    <xf borderId="0" fillId="4" fontId="2" numFmtId="0"/>
    <xf borderId="0" fillId="5" fontId="4" numFmtId="0"/>
    <xf borderId="0" fillId="0" fontId="5" numFmtId="0"/>
    <xf borderId="0" fillId="0" fontId="6" numFmtId="0"/>
    <xf borderId="0" fillId="0" fontId="7" numFmtId="0"/>
    <xf borderId="0" fillId="0" fontId="8" numFmtId="0"/>
    <xf borderId="0" fillId="0" fontId="8" numFmtId="0"/>
    <xf borderId="0" fillId="0" fontId="1" numFmtId="0"/>
  </cellStyleXfs>
  <cellXfs count="5">
    <xf borderId="0" fillId="0" fontId="0" numFmtId="0" pivotButton="0" quotePrefix="0" xfId="0"/>
    <xf borderId="0" fillId="0" fontId="0" numFmtId="164" pivotButton="0" quotePrefix="0" xfId="0"/>
    <xf borderId="0" fillId="0" fontId="0" numFmtId="2" pivotButton="0" quotePrefix="0" xfId="0"/>
    <xf borderId="0" fillId="0" fontId="0" numFmtId="21" pivotButton="0" quotePrefix="0" xfId="0"/>
    <xf borderId="0" fillId="0" fontId="0" numFmtId="14" pivotButton="0" quotePrefix="0" xfId="0"/>
  </cellXfs>
  <cellStyles count="12">
    <cellStyle builtinId="0" name="Normal" xfId="0"/>
    <cellStyle name="Accent" xfId="1"/>
    <cellStyle name="Accent 1" xfId="2"/>
    <cellStyle name="Accent 2" xfId="3"/>
    <cellStyle name="Accent 3" xfId="4"/>
    <cellStyle name="Error" xfId="5"/>
    <cellStyle name="Footnote" xfId="6"/>
    <cellStyle name="Heading" xfId="7"/>
    <cellStyle name="Result" xfId="8"/>
    <cellStyle name="Status" xfId="9"/>
    <cellStyle name="Text" xfId="10"/>
    <cellStyle name="Warning" xfId="1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opLeftCell="B1" workbookViewId="0">
      <selection activeCell="F30" sqref="F30"/>
    </sheetView>
  </sheetViews>
  <sheetFormatPr baseColWidth="10" defaultColWidth="8.83203125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bottom="0" footer="0" header="0" left="0" right="0" top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O8" sqref="O8"/>
    </sheetView>
  </sheetViews>
  <sheetFormatPr baseColWidth="10" defaultColWidth="8.83203125" defaultRowHeight="14"/>
  <cols>
    <col customWidth="1" max="4" min="1" width="10.6640625"/>
    <col customWidth="1" max="6" min="5" width="11"/>
    <col customWidth="1" max="7" min="7" width="10.6640625"/>
    <col customWidth="1" max="8" min="8" width="11"/>
    <col customWidth="1" max="9" min="9" width="10.6640625"/>
    <col customWidth="1" hidden="1" max="10" min="10" width="10.6640625"/>
    <col customWidth="1" max="11" min="11" width="9.1640625"/>
  </cols>
  <sheetData>
    <row r="1">
      <c r="A1" t="inlineStr">
        <is>
          <t>date</t>
        </is>
      </c>
      <c r="B1" t="inlineStr">
        <is>
          <t>Marker</t>
        </is>
      </c>
      <c r="C1" t="inlineStr">
        <is>
          <t>name</t>
        </is>
      </c>
      <c r="D1" t="inlineStr">
        <is>
          <t>Frequency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  <c r="P1" t="inlineStr">
        <is>
          <t>invoice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1" t="n">
        <v>0.5535532407407407</v>
      </c>
      <c r="F2" s="1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  <c r="P2" t="n">
        <v>73.97</v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1" t="n">
        <v>0.6617013888888889</v>
      </c>
      <c r="F3" s="1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SUMIF(C2:C32,"*"&amp;M3&amp;"*",K2:K32)</f>
        <v/>
      </c>
      <c r="O3">
        <f>SUMIFS($K$2:$K$32,$A$2:$A$32,$N$5,$C$2:$C$32,"*"&amp;M3&amp;"*")</f>
        <v/>
      </c>
      <c r="P3" t="n">
        <v>2.98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1" t="n">
        <v>0.5978935185185185</v>
      </c>
      <c r="F4" s="1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  <c r="P4" t="n">
        <v>32.05</v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1" t="n">
        <v>0.6321875</v>
      </c>
      <c r="F5" s="1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  <c r="P5" t="n">
        <v>-99.37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1" t="n">
        <v>0.6390740740740741</v>
      </c>
      <c r="F6" s="1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  <c r="P6" t="n">
        <v>27.61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1" t="n">
        <v>0.3351736111111111</v>
      </c>
      <c r="F7" s="1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  <c r="P7" t="n">
        <v>88.39</v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1" t="n">
        <v>0.3344560185185185</v>
      </c>
      <c r="F8" s="1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  <c r="P8" t="n">
        <v>-35.56</v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1" t="n">
        <v>0.3425347222222222</v>
      </c>
      <c r="F9" s="1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  <c r="P9" t="n">
        <v>26.76</v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1" t="n">
        <v>0.5653819444444445</v>
      </c>
      <c r="F10" s="1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  <c r="P10" t="n">
        <v>74.69</v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1" t="n">
        <v>0.3344560185185185</v>
      </c>
      <c r="F11" s="1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  <c r="P11" t="n">
        <v>93.92</v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1" t="n">
        <v>0.3878472222222222</v>
      </c>
      <c r="F12" s="1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  <c r="P12" t="n">
        <v>47.16</v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1" t="n">
        <v>0.4329282407407408</v>
      </c>
      <c r="F13" s="1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  <c r="P13" t="n">
        <v>35.59</v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1" t="n">
        <v>0.436712962962963</v>
      </c>
      <c r="F14" s="1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  <c r="P14" t="n">
        <v>-53.29</v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1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  <c r="P15" t="n">
        <v>-3.09</v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1" t="n">
        <v>0.6373726851851852</v>
      </c>
      <c r="F16" s="1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  <c r="P16" t="n">
        <v>47.84</v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  <c r="P17" t="n">
        <v>58.79</v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  <c r="P18" t="n">
        <v>-30.33</v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  <c r="P19" t="n">
        <v>87.81999999999999</v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  <c r="P20" t="n">
        <v>88.3</v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  <c r="P21" t="n">
        <v>-4.78</v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  <c r="P22" t="n">
        <v>31.67</v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  <c r="P23" t="n">
        <v>39.9</v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  <c r="P24" t="n">
        <v>-79.91</v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  <c r="P25" t="n">
        <v>-23.03</v>
      </c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  <c r="P26" t="n">
        <v>21.43</v>
      </c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  <c r="P27" t="n">
        <v>42.39</v>
      </c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  <c r="P28" t="n">
        <v>73.97</v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  <c r="P29" t="n">
        <v>75.25</v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  <c r="P30" t="n">
        <v>56.97</v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  <c r="P31" t="n">
        <v>43.33</v>
      </c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  <c r="P32" t="n">
        <v>-93.65000000000001</v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  <c r="P33" t="n">
        <v>-0.41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  <c r="P34" t="n">
        <v>-82.58</v>
      </c>
    </row>
    <row r="35">
      <c r="A35" s="4" t="n">
        <v>44258</v>
      </c>
      <c r="B35" t="n">
        <v>26348</v>
      </c>
      <c r="D35" t="inlineStr">
        <is>
          <t>prem service</t>
        </is>
      </c>
      <c r="P35" t="n">
        <v>66.47</v>
      </c>
    </row>
    <row r="36">
      <c r="A36" s="4" t="n">
        <v>44258</v>
      </c>
      <c r="B36" t="n">
        <v>26348</v>
      </c>
      <c r="D36" t="inlineStr">
        <is>
          <t>check hyro hose</t>
        </is>
      </c>
      <c r="P36" t="n">
        <v>99.26000000000001</v>
      </c>
    </row>
    <row r="37">
      <c r="A37" s="4" t="n">
        <v>44258</v>
      </c>
      <c r="B37" t="n">
        <v>26348</v>
      </c>
      <c r="D37" t="inlineStr">
        <is>
          <t>check headlights</t>
        </is>
      </c>
      <c r="P37" t="n">
        <v>97.44</v>
      </c>
    </row>
    <row r="38">
      <c r="A38" s="4" t="n">
        <v>44258</v>
      </c>
      <c r="B38" t="n">
        <v>26349</v>
      </c>
      <c r="D38" t="inlineStr">
        <is>
          <t>warr unti making noise</t>
        </is>
      </c>
      <c r="P38" t="n">
        <v>-6.64</v>
      </c>
    </row>
    <row r="39">
      <c r="A39" s="4" t="n">
        <v>44258</v>
      </c>
      <c r="B39" t="n">
        <v>26349</v>
      </c>
      <c r="D39" t="inlineStr">
        <is>
          <t>warranty decal</t>
        </is>
      </c>
      <c r="P39" t="n">
        <v>79.28</v>
      </c>
    </row>
    <row r="40">
      <c r="A40" s="4" t="n">
        <v>44258</v>
      </c>
      <c r="B40" t="n">
        <v>26352</v>
      </c>
      <c r="D40" t="inlineStr">
        <is>
          <t>prem service</t>
        </is>
      </c>
      <c r="P40" t="n">
        <v>91.01000000000001</v>
      </c>
    </row>
    <row r="41">
      <c r="A41" s="4" t="n">
        <v>44258</v>
      </c>
      <c r="B41" t="n">
        <v>26352</v>
      </c>
      <c r="D41" t="inlineStr">
        <is>
          <t>check toe</t>
        </is>
      </c>
      <c r="P41" t="n">
        <v>-3.57</v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  <c r="P42" t="n">
        <v>8.130000000000001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  <c r="P43" t="n">
        <v>-51.33</v>
      </c>
    </row>
    <row r="44">
      <c r="A44" s="4" t="n">
        <v>44258</v>
      </c>
      <c r="B44" t="n">
        <v>26376</v>
      </c>
      <c r="D44" t="inlineStr">
        <is>
          <t>starter issue</t>
        </is>
      </c>
      <c r="P44" t="n">
        <v>-65.91</v>
      </c>
    </row>
    <row r="45">
      <c r="A45" s="4" t="n">
        <v>44258</v>
      </c>
      <c r="B45" t="n">
        <v>26380</v>
      </c>
      <c r="D45" t="inlineStr">
        <is>
          <t>speedo and regulator</t>
        </is>
      </c>
      <c r="P45" t="n">
        <v>88.84</v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  <c r="P46" t="n">
        <v>39.98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  <c r="P47" t="n">
        <v>-78.91</v>
      </c>
    </row>
    <row r="48">
      <c r="A48" s="4" t="n"/>
      <c r="P48" t="n">
        <v>98.67</v>
      </c>
    </row>
  </sheetData>
  <pageMargins bottom="0.3937" footer="0" header="0" left="0" right="0" top="0.3937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Luther Haynes</dc:creator>
  <dcterms:created xsi:type="dcterms:W3CDTF">2021-03-02T08:01:00Z</dcterms:created>
  <dcterms:modified xsi:type="dcterms:W3CDTF">2026-05-07T22:44:20Z</dcterms:modified>
  <cp:lastModifiedBy>Richard Pham</cp:lastModifiedBy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7BAEFF17491749EC9491C0397EE6AB54_12</vt:lpwstr>
  </property>
  <property fmtid="{D5CDD505-2E9C-101B-9397-08002B2CF9AE}" name="KSOProductBuildVer" pid="3">
    <vt:lpwstr>2052-12.1.0.16729</vt:lpwstr>
  </property>
</Properties>
</file>