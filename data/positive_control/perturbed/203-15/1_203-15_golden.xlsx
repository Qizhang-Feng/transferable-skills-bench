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500" windowWidth="19420" xWindow="-110" yWindow="-110"/>
  </bookViews>
  <sheets>
    <sheet name="Roster" sheetId="1" state="visible" r:id="rId1"/>
    <sheet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222222"/>
      <sz val="12"/>
    </font>
    <font>
      <name val="Calibri"/>
      <family val="2"/>
      <b val="1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1" fillId="2" fontId="0" numFmtId="0" pivotButton="0" quotePrefix="0" xfId="0">
      <alignment vertical="top"/>
    </xf>
    <xf applyAlignment="1" borderId="0" fillId="0" fontId="0" numFmtId="0" pivotButton="0" quotePrefix="0" xfId="0">
      <alignment vertical="top"/>
    </xf>
    <xf borderId="0" fillId="0" fontId="1" numFmtId="0" pivotButton="0" quotePrefix="0" xfId="0"/>
    <xf applyAlignment="1" borderId="0" fillId="3" fontId="0" numFmtId="0" pivotButton="0" quotePrefix="0" xfId="0">
      <alignment vertical="top"/>
    </xf>
    <xf applyAlignment="1" borderId="0" fillId="3" fontId="0" numFmtId="4" pivotButton="0" quotePrefix="0" xfId="0">
      <alignment horizontal="right" vertical="top"/>
    </xf>
    <xf applyAlignment="1" borderId="0" fillId="4" fontId="0" numFmtId="0" pivotButton="0" quotePrefix="0" xfId="0">
      <alignment vertical="top"/>
    </xf>
    <xf applyAlignment="1" borderId="0" fillId="4" fontId="0" numFmtId="4" pivotButton="0" quotePrefix="0" xfId="0">
      <alignment horizontal="right" vertical="top"/>
    </xf>
    <xf borderId="0" fillId="0" fontId="0" numFmtId="4" pivotButton="0" quotePrefix="0" xfId="0"/>
    <xf borderId="0" fillId="0" fontId="2" numFmtId="0" pivotButton="0" quotePrefix="0" xfId="0"/>
    <xf applyAlignment="1" borderId="1" fillId="2" fontId="0" numFmtId="4" pivotButton="0" quotePrefix="0" xfId="0">
      <alignment vertical="top"/>
    </xf>
    <xf applyAlignment="1" borderId="0" fillId="0" fontId="0" numFmtId="0" pivotButton="0" quotePrefix="0" xfId="0">
      <alignment vertical="top"/>
    </xf>
    <xf applyAlignment="1" borderId="0" fillId="0" fontId="0" numFmtId="4" pivotButton="0" quotePrefix="0" xfId="0">
      <alignment horizontal="right" vertical="top"/>
    </xf>
  </cellXfs>
  <cellStyles count="1">
    <cellStyle builtinId="0" name="Normal" xfId="0"/>
  </cellStyles>
  <tableStyles count="1" defaultPivotStyle="PivotStyleLight16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4"/>
  <sheetViews>
    <sheetView tabSelected="1" workbookViewId="0">
      <selection activeCell="D9" sqref="D9"/>
    </sheetView>
  </sheetViews>
  <sheetFormatPr baseColWidth="8" defaultRowHeight="14.5"/>
  <cols>
    <col bestFit="1" customWidth="1" max="1" min="1" width="8.26953125"/>
    <col bestFit="1" customWidth="1" max="2" min="2" width="11.7265625"/>
    <col bestFit="1" customWidth="1" max="3" min="3" width="10.08984375"/>
    <col bestFit="1" customWidth="1" max="4" min="4" width="11.7265625"/>
    <col bestFit="1" customWidth="1" max="5" min="5" width="18.26953125"/>
    <col bestFit="1" customWidth="1" max="6" min="6" width="7.6328125"/>
    <col bestFit="1" customWidth="1" max="7" min="7" width="10.90625"/>
    <col bestFit="1" customWidth="1" max="8" min="8" width="20.26953125"/>
    <col customWidth="1" max="9" min="9" width="18"/>
    <col bestFit="1" customWidth="1" max="10" min="10" width="8.90625"/>
  </cols>
  <sheetData>
    <row r="1">
      <c r="A1" s="1" t="inlineStr">
        <is>
          <t>Interval</t>
        </is>
      </c>
      <c r="B1" s="1" t="inlineStr">
        <is>
          <t>Grade</t>
        </is>
      </c>
      <c r="C1" s="1" t="inlineStr">
        <is>
          <t>Period</t>
        </is>
      </c>
      <c r="D1" s="1" t="inlineStr">
        <is>
          <t>Factor</t>
        </is>
      </c>
      <c r="E1" s="1" t="inlineStr">
        <is>
          <t>Tier</t>
        </is>
      </c>
      <c r="F1" s="1" t="inlineStr">
        <is>
          <t>Segment</t>
        </is>
      </c>
      <c r="G1" s="1" t="inlineStr">
        <is>
          <t>Label</t>
        </is>
      </c>
      <c r="H1" s="1" t="inlineStr">
        <is>
          <t>Level</t>
        </is>
      </c>
      <c r="I1" s="1" t="inlineStr">
        <is>
          <t>Division</t>
        </is>
      </c>
      <c r="J1" s="1" t="inlineStr">
        <is>
          <t>Marker</t>
        </is>
      </c>
      <c r="K1" t="inlineStr">
        <is>
          <t>staff no.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11" t="inlineStr">
        <is>
          <t>AE</t>
        </is>
      </c>
      <c r="K2" t="n">
        <v>73.01000000000001</v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11" t="inlineStr">
        <is>
          <t>AE</t>
        </is>
      </c>
      <c r="K3" t="n">
        <v>55.66</v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11" t="inlineStr">
        <is>
          <t>AE</t>
        </is>
      </c>
      <c r="K4" t="n">
        <v>94.72</v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11" t="inlineStr">
        <is>
          <t>AE</t>
        </is>
      </c>
      <c r="K5" t="n">
        <v>82.12</v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11" t="inlineStr">
        <is>
          <t>AE</t>
        </is>
      </c>
      <c r="K6" t="n">
        <v>49.03</v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11" t="inlineStr">
        <is>
          <t>AE</t>
        </is>
      </c>
      <c r="K7" t="n">
        <v>66.56999999999999</v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11" t="inlineStr">
        <is>
          <t>AE</t>
        </is>
      </c>
      <c r="K8" t="n">
        <v>80.59</v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11" t="inlineStr">
        <is>
          <t>AE</t>
        </is>
      </c>
      <c r="K9" t="n">
        <v>55.15</v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11" t="inlineStr">
        <is>
          <t>AE</t>
        </is>
      </c>
      <c r="K10" t="n">
        <v>-53.98</v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11" t="inlineStr">
        <is>
          <t>AE</t>
        </is>
      </c>
      <c r="K11" t="n">
        <v>60.39</v>
      </c>
    </row>
    <row r="12">
      <c r="K12" t="n">
        <v>-56.2</v>
      </c>
    </row>
    <row r="13">
      <c r="K13" t="n">
        <v>-61.97</v>
      </c>
    </row>
    <row customHeight="1" ht="15" r="14">
      <c r="B14" s="3" t="n"/>
      <c r="K14" t="n">
        <v>-49.87</v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10"/>
  <sheetViews>
    <sheetView workbookViewId="0">
      <selection activeCell="J10" sqref="J10"/>
    </sheetView>
  </sheetViews>
  <sheetFormatPr baseColWidth="8" defaultColWidth="13" defaultRowHeight="14.5"/>
  <cols>
    <col customWidth="1" max="1" min="1" width="7.90625"/>
    <col customWidth="1" max="2" min="2" width="11.453125"/>
    <col customWidth="1" max="3" min="3" width="8.453125"/>
    <col customWidth="1" max="4" min="4" width="7.453125"/>
    <col customWidth="1" max="5" min="5" width="8.90625"/>
    <col customWidth="1" max="6" min="6" width="7.453125"/>
    <col customWidth="1" max="7" min="7" width="10.26953125"/>
    <col bestFit="1" customWidth="1" max="8" min="8" width="8.26953125"/>
    <col customWidth="1" max="9" min="9" width="17.7265625"/>
    <col customWidth="1" max="10" min="10" width="20"/>
    <col customWidth="1" max="11" min="11" width="16.36328125"/>
    <col customWidth="1" max="12" min="12" width="16.453125"/>
    <col bestFit="1" customWidth="1" max="13" min="13" width="16.7265625"/>
  </cols>
  <sheetData>
    <row r="1">
      <c r="A1" s="1" t="inlineStr">
        <is>
          <t>Interval</t>
        </is>
      </c>
      <c r="B1" s="1" t="inlineStr">
        <is>
          <t>Grade</t>
        </is>
      </c>
      <c r="C1" s="1" t="inlineStr">
        <is>
          <t>Period</t>
        </is>
      </c>
      <c r="D1" s="1" t="inlineStr">
        <is>
          <t>Factor</t>
        </is>
      </c>
      <c r="E1" s="1" t="inlineStr">
        <is>
          <t>Tier</t>
        </is>
      </c>
      <c r="F1" s="1" t="inlineStr">
        <is>
          <t>Segment</t>
        </is>
      </c>
      <c r="G1" s="1" t="inlineStr">
        <is>
          <t>Label</t>
        </is>
      </c>
      <c r="H1" s="10" t="inlineStr">
        <is>
          <t>Basic</t>
        </is>
      </c>
      <c r="I1" s="10" t="inlineStr">
        <is>
          <t>Housing Allowance</t>
        </is>
      </c>
      <c r="J1" s="10" t="inlineStr">
        <is>
          <t>Transport Allowances</t>
        </is>
      </c>
      <c r="K1" s="10" t="inlineStr">
        <is>
          <t>Other Allowances</t>
        </is>
      </c>
      <c r="L1" s="10" t="inlineStr">
        <is>
          <t>Social Allowances</t>
        </is>
      </c>
      <c r="M1" s="1" t="inlineStr">
        <is>
          <t>Total</t>
        </is>
      </c>
      <c r="N1" t="inlineStr">
        <is>
          <t>staff no.</t>
        </is>
      </c>
    </row>
    <row r="2">
      <c r="A2" s="11" t="n">
        <v>1111</v>
      </c>
      <c r="B2" s="11" t="inlineStr">
        <is>
          <t>Sales</t>
        </is>
      </c>
      <c r="C2" s="11" t="inlineStr">
        <is>
          <t>LOC1</t>
        </is>
      </c>
      <c r="D2" s="11" t="inlineStr">
        <is>
          <t>Name1</t>
        </is>
      </c>
      <c r="E2" s="11" t="inlineStr">
        <is>
          <t>Position1</t>
        </is>
      </c>
      <c r="F2" s="11" t="inlineStr">
        <is>
          <t>Female</t>
        </is>
      </c>
      <c r="G2" s="11" t="inlineStr">
        <is>
          <t>UK</t>
        </is>
      </c>
      <c r="H2" s="12" t="n">
        <v>5000</v>
      </c>
      <c r="I2" s="12" t="n">
        <v>2000</v>
      </c>
      <c r="J2" s="12" t="n">
        <v>1500</v>
      </c>
      <c r="K2" s="12" t="n">
        <v>1750</v>
      </c>
      <c r="L2" s="12" t="n">
        <v>250</v>
      </c>
      <c r="M2" s="8">
        <f>SUM($H2:L2)</f>
        <v/>
      </c>
      <c r="N2" t="n">
        <v>51.12</v>
      </c>
    </row>
    <row r="3">
      <c r="A3" s="11" t="n">
        <v>2222</v>
      </c>
      <c r="B3" s="11" t="inlineStr">
        <is>
          <t>Finance</t>
        </is>
      </c>
      <c r="C3" s="11" t="inlineStr">
        <is>
          <t>LOC2</t>
        </is>
      </c>
      <c r="D3" s="11" t="inlineStr">
        <is>
          <t>Name2</t>
        </is>
      </c>
      <c r="E3" s="11" t="inlineStr">
        <is>
          <t>AS1</t>
        </is>
      </c>
      <c r="F3" s="11" t="inlineStr">
        <is>
          <t>Male</t>
        </is>
      </c>
      <c r="G3" s="11" t="inlineStr">
        <is>
          <t>US</t>
        </is>
      </c>
      <c r="H3" s="12" t="n">
        <v>4000</v>
      </c>
      <c r="I3" s="12" t="n">
        <v>1500</v>
      </c>
      <c r="J3" s="12" t="n">
        <v>1500</v>
      </c>
      <c r="K3" s="12" t="n">
        <v>1250</v>
      </c>
      <c r="L3" s="12" t="n">
        <v>250</v>
      </c>
      <c r="M3" s="8">
        <f>SUM($H3:L3)</f>
        <v/>
      </c>
      <c r="N3" t="n">
        <v>53.49</v>
      </c>
    </row>
    <row r="4">
      <c r="N4" t="n">
        <v>36.17</v>
      </c>
    </row>
    <row r="5">
      <c r="N5" t="n">
        <v>-72.64</v>
      </c>
    </row>
    <row r="6">
      <c r="N6" t="n">
        <v>-80.56999999999999</v>
      </c>
    </row>
    <row r="7">
      <c r="N7" t="n">
        <v>25.49</v>
      </c>
    </row>
    <row r="8">
      <c r="M8" s="9" t="n"/>
      <c r="N8" t="n">
        <v>-92.12</v>
      </c>
    </row>
    <row r="9">
      <c r="M9" s="9" t="n"/>
      <c r="N9" t="n">
        <v>57.72</v>
      </c>
    </row>
    <row r="10">
      <c r="M10" s="9" t="n"/>
      <c r="N10" t="n">
        <v>-93.33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2022-09-14T13:39:37Z</dcterms:created>
  <dcterms:modified xsi:type="dcterms:W3CDTF">2026-05-07T22:44:12Z</dcterms:modified>
  <cp:lastModifiedBy>Sumithra Raghavan</cp:lastModifiedBy>
</cp:coreProperties>
</file>