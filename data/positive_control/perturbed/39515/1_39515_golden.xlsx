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" numFmtId="164"/>
  </numFmts>
  <fonts count="3">
    <font>
      <name val="Calibri"/>
      <charset val="134"/>
      <color theme="1"/>
      <sz val="11"/>
    </font>
    <font>
      <name val="Calibri"/>
      <family val="2"/>
      <b val="1"/>
      <color theme="1"/>
      <sz val="11"/>
    </font>
    <font>
      <name val="Calibri"/>
      <family val="2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1" fillId="0" fontId="0" numFmtId="14" pivotButton="0" quotePrefix="0" xfId="0">
      <alignment horizontal="center" wrapText="1"/>
    </xf>
    <xf applyAlignment="1" borderId="1" fillId="0" fontId="1" numFmtId="164" pivotButton="0" quotePrefix="0" xfId="0">
      <alignment horizontal="center" wrapText="1"/>
    </xf>
    <xf applyAlignment="1" borderId="1" fillId="0" fontId="0" numFmtId="14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0" fontId="0" numFmtId="164" pivotButton="0" quotePrefix="0" xfId="0">
      <alignment horizontal="center"/>
    </xf>
    <xf applyAlignment="1" borderId="1" fillId="2" fontId="0" numFmtId="0" pivotButton="0" quotePrefix="0" xfId="0">
      <alignment horizontal="center"/>
    </xf>
    <xf applyAlignment="1" borderId="1" fillId="2" fontId="0" numFmtId="164" pivotButton="0" quotePrefix="0" xfId="0">
      <alignment horizontal="center"/>
    </xf>
    <xf applyAlignment="1" borderId="1" fillId="0" fontId="1" numFmtId="0" pivotButton="0" quotePrefix="0" xfId="0">
      <alignment horizontal="center" wrapText="1"/>
    </xf>
    <xf applyAlignment="1" borderId="1" fillId="0" fontId="1" numFmtId="164" pivotButton="0" quotePrefix="0" xfId="0">
      <alignment horizontal="center" wrapText="1"/>
    </xf>
    <xf applyAlignment="1" borderId="1" fillId="0" fontId="0" numFmtId="164" pivotButton="0" quotePrefix="0" xfId="0">
      <alignment horizontal="center"/>
    </xf>
    <xf applyAlignment="1" borderId="1" fillId="2" fontId="0" numFmtId="16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tabSelected="1" workbookViewId="0">
      <selection activeCell="P15" sqref="P15"/>
    </sheetView>
  </sheetViews>
  <sheetFormatPr baseColWidth="8" defaultColWidth="9" defaultRowHeight="14.6"/>
  <cols>
    <col customWidth="1" max="1" min="1" width="10.921875"/>
    <col customWidth="1" max="2" min="2" width="9.69140625"/>
    <col customWidth="1" max="14" min="3" width="6.53515625"/>
    <col customWidth="1" max="15" min="15" width="11.921875"/>
  </cols>
  <sheetData>
    <row customHeight="1" ht="43.75" r="1">
      <c r="A1" s="1" t="inlineStr">
        <is>
          <t>Rating</t>
        </is>
      </c>
      <c r="B1" s="1" t="inlineStr">
        <is>
          <t>Segment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Volume</t>
        </is>
      </c>
      <c r="P1" t="inlineStr">
        <is>
          <t>Month Available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IF(B2=2022,C2,INDEX($C2:$N2,MATCH($A2,$C$1:$N$1,0)))</f>
        <v/>
      </c>
      <c r="P2" t="n">
        <v>23.7</v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0">
        <f>IF(B3=2022,C3,INDEX($C3:$N3,MATCH($A3,$C$1:$N$1,0)))</f>
        <v/>
      </c>
      <c r="P3" t="n">
        <v>94.78</v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 ref="O4" t="array">IF(B4=2022,C4,INDEX($C4:$N4,MATCH($A4,$C$1:$N$1,0)))</f>
        <v/>
      </c>
      <c r="P4" t="n">
        <v>-27.85</v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 ref="O5" t="array">IF(B5=2022,C5,INDEX($C5:$N5,MATCH($A5,$C$1:$N$1,0)))</f>
        <v/>
      </c>
      <c r="P5" t="n">
        <v>34.76</v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0">
        <f ref="O6" t="array">IF(B6=2022,C6,INDEX($C6:$N6,MATCH($A6,$C$1:$N$1,0)))</f>
        <v/>
      </c>
      <c r="P6" t="n">
        <v>38.06</v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 ref="O7" t="array">IF(B7=2022,C7,INDEX($C7:$N7,MATCH($A7,$C$1:$N$1,0)))</f>
        <v/>
      </c>
      <c r="P7" t="n">
        <v>-21</v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 ref="O8" t="array">IF(B8=2022,C8,INDEX($C8:$N8,MATCH($A8,$C$1:$N$1,0)))</f>
        <v/>
      </c>
      <c r="P8" t="n">
        <v>-39.47</v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0">
        <f ref="O9" t="array">IF(B9=2022,C9,INDEX($C9:$N9,MATCH($A9,$C$1:$N$1,0)))</f>
        <v/>
      </c>
      <c r="P9" t="n">
        <v>-74.98</v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 ref="O10" t="array">IF(B10=2022,C10,INDEX($C10:$N10,MATCH($A10,$C$1:$N$1,0)))</f>
        <v/>
      </c>
      <c r="P10" t="n">
        <v>-97.22</v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0">
        <f ref="O11" t="array">IF(B11=2022,C11,INDEX($C11:$N11,MATCH($A11,$C$1:$N$1,0)))</f>
        <v/>
      </c>
      <c r="P11" t="n">
        <v>-77.62</v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0">
        <f ref="O12" t="array">IF(B12=2022,C12,INDEX($C12:$N12,MATCH($A12,$C$1:$N$1,0)))</f>
        <v/>
      </c>
      <c r="P12" t="n">
        <v>-96.81999999999999</v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 ref="O13" t="array">IF(B13=2022,C13,INDEX($C13:$N13,MATCH($A13,$C$1:$N$1,0)))</f>
        <v/>
      </c>
      <c r="P13" t="n">
        <v>94.09999999999999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2026-05-07T22:44:19Z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55E2E228DFA6418BB0FE0611719F7EE2_13</vt:lpwstr>
  </property>
  <property fmtid="{D5CDD505-2E9C-101B-9397-08002B2CF9AE}" name="KSOProductBuildVer" pid="3">
    <vt:lpwstr>2052-12.1.0.16729</vt:lpwstr>
  </property>
</Properties>
</file>