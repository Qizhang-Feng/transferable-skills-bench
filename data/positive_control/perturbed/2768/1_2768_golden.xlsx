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  <sheet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formatCode="mm/dd/yy;@" numFmtId="164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" fillId="4" fontId="0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2" fillId="0" fontId="10" numFmtId="0">
      <alignment vertical="center"/>
    </xf>
    <xf applyAlignment="1" borderId="2" fillId="0" fontId="11" numFmtId="0">
      <alignment vertical="center"/>
    </xf>
    <xf applyAlignment="1" borderId="3" fillId="0" fontId="12" numFmtId="0">
      <alignment vertical="center"/>
    </xf>
    <xf applyAlignment="1" borderId="0" fillId="0" fontId="12" numFmtId="0">
      <alignment vertical="center"/>
    </xf>
    <xf applyAlignment="1" borderId="4" fillId="5" fontId="13" numFmtId="0">
      <alignment vertical="center"/>
    </xf>
    <xf applyAlignment="1" borderId="5" fillId="6" fontId="14" numFmtId="0">
      <alignment vertical="center"/>
    </xf>
    <xf applyAlignment="1" borderId="4" fillId="6" fontId="15" numFmtId="0">
      <alignment vertical="center"/>
    </xf>
    <xf applyAlignment="1" borderId="6" fillId="7" fontId="16" numFmtId="0">
      <alignment vertical="center"/>
    </xf>
    <xf applyAlignment="1" borderId="7" fillId="0" fontId="17" numFmtId="0">
      <alignment vertical="center"/>
    </xf>
    <xf applyAlignment="1" borderId="8" fillId="0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3" numFmtId="0">
      <alignment vertical="center"/>
    </xf>
    <xf applyAlignment="1" borderId="0" fillId="13" fontId="23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3" numFmtId="0">
      <alignment vertical="center"/>
    </xf>
    <xf applyAlignment="1" borderId="0" fillId="17" fontId="23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3" numFmtId="0">
      <alignment vertical="center"/>
    </xf>
    <xf applyAlignment="1" borderId="0" fillId="21" fontId="23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3" numFmtId="0">
      <alignment vertical="center"/>
    </xf>
    <xf applyAlignment="1" borderId="0" fillId="25" fontId="23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3" numFmtId="0">
      <alignment vertical="center"/>
    </xf>
    <xf applyAlignment="1" borderId="0" fillId="29" fontId="23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3" numFmtId="0">
      <alignment vertical="center"/>
    </xf>
    <xf applyAlignment="1" borderId="0" fillId="33" fontId="23" numFmtId="0">
      <alignment vertical="center"/>
    </xf>
    <xf applyAlignment="1" borderId="0" fillId="34" fontId="22" numFmtId="0">
      <alignment vertical="center"/>
    </xf>
  </cellStyleXfs>
  <cellXfs count="2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0" fillId="0" fontId="1" numFmtId="164" pivotButton="0" quotePrefix="0" xfId="0">
      <alignment horizontal="left"/>
    </xf>
    <xf applyAlignment="1" borderId="0" fillId="0" fontId="3" numFmtId="164" pivotButton="0" quotePrefix="0" xfId="0">
      <alignment horizontal="left"/>
    </xf>
    <xf applyAlignment="1" borderId="0" fillId="0" fontId="1" numFmtId="14" pivotButton="0" quotePrefix="0" xfId="0">
      <alignment horizontal="left"/>
    </xf>
    <xf applyAlignment="1" borderId="0" fillId="0" fontId="3" numFmtId="14" pivotButton="0" quotePrefix="0" xfId="0">
      <alignment horizontal="left"/>
    </xf>
    <xf borderId="0" fillId="2" fontId="1" numFmtId="0" pivotButton="0" quotePrefix="0" xfId="0"/>
    <xf borderId="0" fillId="3" fontId="2" numFmtId="0" pivotButton="0" quotePrefix="0" xfId="0"/>
    <xf borderId="0" fillId="3" fontId="1" numFmtId="0" pivotButton="0" quotePrefix="0" xfId="0"/>
    <xf applyAlignment="1" borderId="0" fillId="3" fontId="1" numFmtId="164" pivotButton="0" quotePrefix="0" xfId="0">
      <alignment horizontal="left"/>
    </xf>
    <xf borderId="0" fillId="3" fontId="3" numFmtId="0" pivotButton="0" quotePrefix="0" xfId="0"/>
    <xf applyAlignment="1" borderId="0" fillId="3" fontId="3" numFmtId="164" pivotButton="0" quotePrefix="0" xfId="0">
      <alignment horizontal="left"/>
    </xf>
    <xf applyAlignment="1" borderId="0" fillId="3" fontId="1" numFmtId="14" pivotButton="0" quotePrefix="0" xfId="0">
      <alignment horizontal="left"/>
    </xf>
    <xf applyAlignment="1" borderId="0" fillId="3" fontId="3" numFmtId="14" pivotButton="0" quotePrefix="0" xfId="0">
      <alignment horizontal="left"/>
    </xf>
    <xf applyAlignment="1" borderId="0" fillId="3" fontId="1" numFmtId="164" pivotButton="0" quotePrefix="0" xfId="0">
      <alignment horizontal="left"/>
    </xf>
    <xf applyAlignment="1" borderId="0" fillId="3" fontId="3" numFmtId="164" pivotButton="0" quotePrefix="0" xfId="0">
      <alignment horizontal="left"/>
    </xf>
    <xf applyAlignment="1" borderId="0" fillId="0" fontId="1" numFmtId="164" pivotButton="0" quotePrefix="0" xfId="0">
      <alignment horizontal="left"/>
    </xf>
    <xf applyAlignment="1" borderId="0" fillId="0" fontId="3" numFmtId="164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Carmen.Ho</author>
  </authors>
  <commentList>
    <comment authorId="0" ref="A2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P15" sqref="P15"/>
    </sheetView>
  </sheetViews>
  <sheetFormatPr baseColWidth="8" defaultColWidth="9.16363636363636" defaultRowHeight="14"/>
  <cols>
    <col customWidth="1" max="1" min="1" style="1" width="9"/>
    <col customWidth="1" max="2" min="2" style="1" width="4.83636363636364"/>
    <col customWidth="1" max="3" min="3" style="1" width="18.5"/>
    <col customWidth="1" max="4" min="4" style="1" width="11"/>
    <col customWidth="1" max="5" min="5" style="1" width="15.1636363636364"/>
    <col customWidth="1" max="6" min="6" style="1" width="16.8363636363636"/>
    <col customWidth="1" max="7" min="7" style="1" width="10.3363636363636"/>
    <col customWidth="1" max="8" min="8" style="1" width="18.1636363636364"/>
    <col customWidth="1" max="11" min="9" style="1" width="9.16363636363636"/>
    <col customWidth="1" max="12" min="12" style="1" width="11"/>
    <col customWidth="1" max="13" min="13" style="1" width="9.16363636363636"/>
    <col customWidth="1" max="14" min="14" style="1" width="13.5"/>
    <col customWidth="1" max="16384" min="15" style="1" width="9.16363636363636"/>
  </cols>
  <sheetData>
    <row r="1">
      <c r="A1" s="2" t="inlineStr">
        <is>
          <t>Order No</t>
        </is>
      </c>
      <c r="B1" s="2" t="inlineStr">
        <is>
          <t>Level</t>
        </is>
      </c>
      <c r="C1" s="2" t="inlineStr">
        <is>
          <t>Span</t>
        </is>
      </c>
      <c r="D1" s="2" t="inlineStr">
        <is>
          <t>Label</t>
        </is>
      </c>
      <c r="E1" s="1" t="inlineStr">
        <is>
          <t>Item</t>
        </is>
      </c>
      <c r="F1" s="1" t="inlineStr">
        <is>
          <t>Source</t>
        </is>
      </c>
      <c r="G1" s="1" t="inlineStr">
        <is>
          <t>Ratio</t>
        </is>
      </c>
      <c r="H1" s="9" t="inlineStr">
        <is>
          <t>Branch</t>
        </is>
      </c>
      <c r="K1" s="2" t="n"/>
      <c r="L1" s="2" t="n"/>
      <c r="M1" s="2" t="n"/>
      <c r="N1" s="2" t="n"/>
      <c r="O1" t="inlineStr">
        <is>
          <t>Line</t>
        </is>
      </c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>
        <f>MIN(G2,SUMIFS(Sheet2!D:D,Sheet2!A:A,A2,Sheet2!B:B,D2)-SUMIFS(H$1:H1,A$1:A1,A2,D$1:D1,D2))</f>
        <v/>
      </c>
      <c r="O2" t="n">
        <v>64.22</v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>
        <f ref="H3" t="array">MIN(G3,SUMIFS(Sheet2!D:D,Sheet2!A:A,A3,Sheet2!B:B,D3)-SUMIFS(H$1:H2,A$1:A2,A3,D$1:D2,D3))</f>
        <v/>
      </c>
      <c r="O3" t="n">
        <v>-20.78</v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>
        <f ref="H4" t="array">MIN(G4,SUMIFS(Sheet2!D:D,Sheet2!A:A,A4,Sheet2!B:B,D4)-SUMIFS(H$1:H3,A$1:A3,A4,D$1:D3,D4))</f>
        <v/>
      </c>
      <c r="O4" t="n">
        <v>73.98</v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>
        <f ref="H5" t="array">MIN(G5,SUMIFS(Sheet2!D:D,Sheet2!A:A,A5,Sheet2!B:B,D5)-SUMIFS(H$1:H4,A$1:A4,A5,D$1:D4,D5))</f>
        <v/>
      </c>
      <c r="O5" t="n">
        <v>13.82</v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>
        <f ref="H6" t="array">MIN(G6,SUMIFS(Sheet2!D:D,Sheet2!A:A,A6,Sheet2!B:B,D6)-SUMIFS(H$1:H5,A$1:A5,A6,D$1:D5,D6))</f>
        <v/>
      </c>
      <c r="K6" s="3" t="n"/>
      <c r="M6" s="3" t="n"/>
      <c r="N6" s="3" t="n"/>
      <c r="O6" t="n">
        <v>-1.2</v>
      </c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13">
        <f ref="H7" t="array">MIN(G7,SUMIFS(Sheet2!D:D,Sheet2!A:A,A7,Sheet2!B:B,D7)-SUMIFS(H$1:H6,A$1:A6,A7,D$1:D6,D7))</f>
        <v/>
      </c>
      <c r="K7" s="3" t="n"/>
      <c r="M7" s="3" t="n"/>
      <c r="N7" s="3" t="n"/>
      <c r="O7" t="n">
        <v>10.36</v>
      </c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13">
        <f ref="H8" t="array">MIN(G8,SUMIFS(Sheet2!D:D,Sheet2!A:A,A8,Sheet2!B:B,D8)-SUMIFS(H$1:H7,A$1:A7,A8,D$1:D7,D8))</f>
        <v/>
      </c>
      <c r="O8" t="n">
        <v>31.97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13">
        <f ref="H9" t="array">MIN(G9,SUMIFS(Sheet2!D:D,Sheet2!A:A,A9,Sheet2!B:B,D9)-SUMIFS(H$1:H8,A$1:A8,A9,D$1:D8,D9))</f>
        <v/>
      </c>
      <c r="O9" t="n">
        <v>13.14</v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13">
        <f ref="H10" t="array">MIN(G10,SUMIFS(Sheet2!D:D,Sheet2!A:A,A10,Sheet2!B:B,D10)-SUMIFS(H$1:H9,A$1:A9,A10,D$1:D9,D10))</f>
        <v/>
      </c>
      <c r="O10" t="n">
        <v>36.48</v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13">
        <f ref="H11" t="array">MIN(G11,SUMIFS(Sheet2!D:D,Sheet2!A:A,A11,Sheet2!B:B,D11)-SUMIFS(H$1:H10,A$1:A10,A11,D$1:D10,D11))</f>
        <v/>
      </c>
      <c r="O11" t="n">
        <v>13.03</v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>
        <f ref="H12" t="array">MIN(G12,SUMIFS(Sheet2!D:D,Sheet2!A:A,A12,Sheet2!B:B,D12)-SUMIFS(H$1:H11,A$1:A11,A12,D$1:D11,D12))</f>
        <v/>
      </c>
      <c r="O12" t="n">
        <v>-86.93000000000001</v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>
        <f ref="H13" t="array">MIN(G13,SUMIFS(Sheet2!D:D,Sheet2!A:A,A13,Sheet2!B:B,D13)-SUMIFS(H$1:H12,A$1:A12,A13,D$1:D12,D13))</f>
        <v/>
      </c>
      <c r="O13" t="n">
        <v>-74.34999999999999</v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13">
        <f ref="H14" t="array">MIN(G14,SUMIFS(Sheet2!D:D,Sheet2!A:A,A14,Sheet2!B:B,D14)-SUMIFS(H$1:H13,A$1:A13,A14,D$1:D13,D14))</f>
        <v/>
      </c>
      <c r="O14" t="n">
        <v>-86.98999999999999</v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13">
        <f ref="H15" t="array">MIN(G15,SUMIFS(Sheet2!D:D,Sheet2!A:A,A15,Sheet2!B:B,D15)-SUMIFS(H$1:H14,A$1:A14,A15,D$1:D14,D15))</f>
        <v/>
      </c>
      <c r="O15" t="n">
        <v>-48.08</v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>
        <f ref="H16" t="array">MIN(G16,SUMIFS(Sheet2!D:D,Sheet2!A:A,A16,Sheet2!B:B,D16)-SUMIFS(H$1:H15,A$1:A15,A16,D$1:D15,D16))</f>
        <v/>
      </c>
      <c r="O16" t="n">
        <v>13.98</v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13">
        <f ref="H17" t="array">MIN(G17,SUMIFS(Sheet2!D:D,Sheet2!A:A,A17,Sheet2!B:B,D17)-SUMIFS(H$1:H16,A$1:A16,A17,D$1:D16,D17))</f>
        <v/>
      </c>
      <c r="O17" t="n">
        <v>-54.41</v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>
        <f ref="H18" t="array">MIN(G18,SUMIFS(Sheet2!D:D,Sheet2!A:A,A18,Sheet2!B:B,D18)-SUMIFS(H$1:H17,A$1:A17,A18,D$1:D17,D18))</f>
        <v/>
      </c>
      <c r="O18" t="n">
        <v>4.62</v>
      </c>
    </row>
  </sheetData>
  <pageMargins bottom="0.75" footer="0.3" header="0.3" left="0.7" right="0.7" top="0.7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B62" sqref="B62"/>
    </sheetView>
  </sheetViews>
  <sheetFormatPr baseColWidth="8" defaultColWidth="9.16363636363636" defaultRowHeight="14"/>
  <cols>
    <col customWidth="1" max="1" min="1" style="1" width="11.1636363636364"/>
    <col customWidth="1" max="3" min="2" style="1" width="13.5"/>
    <col customWidth="1" max="4" min="4" style="1" width="15.6636363636364"/>
    <col customWidth="1" max="7" min="5" style="1" width="9.16363636363636"/>
    <col customWidth="1" max="8" min="8" style="1" width="4.83636363636364"/>
    <col customWidth="1" max="9" min="9" style="1" width="18.5"/>
    <col customWidth="1" max="10" min="10" style="1" width="11.5"/>
    <col customWidth="1" max="11" min="11" style="1" width="11.8363636363636"/>
    <col customWidth="1" max="12" min="12" style="1" width="16.8363636363636"/>
    <col customWidth="1" max="13" min="13" style="1" width="10.3363636363636"/>
    <col customWidth="1" max="14" min="14" style="1" width="18.6636363636364"/>
    <col customWidth="1" max="16384" min="15" style="1" width="9.16363636363636"/>
  </cols>
  <sheetData>
    <row r="1">
      <c r="A1" s="2" t="inlineStr">
        <is>
          <t>Order No</t>
        </is>
      </c>
      <c r="B1" s="2" t="inlineStr">
        <is>
          <t>Label</t>
        </is>
      </c>
      <c r="C1" s="2" t="inlineStr">
        <is>
          <t>Item</t>
        </is>
      </c>
      <c r="D1" s="2" t="inlineStr">
        <is>
          <t>Impact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Carmen.Ho</dc:creator>
  <dcterms:created xsi:type="dcterms:W3CDTF">2020-05-14T11:11:00Z</dcterms:created>
  <dcterms:modified xsi:type="dcterms:W3CDTF">2026-05-07T22:44:20Z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6BA380DC20A2439E9B072990705A3276_13</vt:lpwstr>
  </property>
  <property fmtid="{D5CDD505-2E9C-101B-9397-08002B2CF9AE}" name="KSOProductBuildVer" pid="3">
    <vt:lpwstr>2052-12.1.0.16729</vt:lpwstr>
  </property>
</Properties>
</file>