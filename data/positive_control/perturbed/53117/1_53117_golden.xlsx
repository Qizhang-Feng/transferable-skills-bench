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0" windowWidth="21600" xWindow="3075" yWindow="3075"/>
  </bookViews>
  <sheets>
    <sheet name="Registry" sheetId="1" state="visible" r:id="rId1"/>
  </sheets>
  <definedNames>
    <definedName hidden="1" localSheetId="0" name="_xlnm._FilterDatabase">'Registry'!$A$1:$AY$27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43"/>
  </cellStyleXfs>
  <cellXfs count="20">
    <xf borderId="0" fillId="0" fontId="0" numFmtId="0" pivotButton="0" quotePrefix="0" xfId="0"/>
    <xf applyAlignment="1" borderId="1" fillId="2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3" fontId="0" numFmtId="0" pivotButton="0" quotePrefix="0" xfId="0">
      <alignment vertical="top"/>
    </xf>
    <xf applyAlignment="1" borderId="0" fillId="0" fontId="0" numFmtId="4" pivotButton="0" quotePrefix="0" xfId="0">
      <alignment horizontal="right" vertical="top"/>
    </xf>
    <xf applyAlignment="1" borderId="0" fillId="0" fontId="2" numFmtId="0" pivotButton="0" quotePrefix="0" xfId="0">
      <alignment vertical="center"/>
    </xf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0" pivotButton="0" quotePrefix="0" xfId="0">
      <alignment horizontal="center"/>
    </xf>
    <xf applyAlignment="1" borderId="0" fillId="3" fontId="0" numFmtId="43" pivotButton="0" quotePrefix="0" xfId="1">
      <alignment horizontal="right" vertical="top"/>
    </xf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topLeftCell="A22" workbookViewId="0">
      <selection activeCell="E4" sqref="E4"/>
    </sheetView>
  </sheetViews>
  <sheetFormatPr baseColWidth="8" defaultRowHeight="14.25"/>
  <cols>
    <col customWidth="1" max="1" min="1" style="13" width="8.875"/>
    <col bestFit="1" customWidth="1" max="2" min="2" style="15" width="11.125"/>
    <col customWidth="1" max="4" min="4" width="17.375"/>
  </cols>
  <sheetData>
    <row customFormat="1" customHeight="1" ht="15" r="1" s="2">
      <c r="A1" s="11" t="inlineStr">
        <is>
          <t>Medium</t>
        </is>
      </c>
      <c r="B1" s="16" t="inlineStr">
        <is>
          <t>Interval</t>
        </is>
      </c>
      <c r="C1" s="1" t="inlineStr">
        <is>
          <t>Country</t>
        </is>
      </c>
      <c r="D1" s="6" t="inlineStr">
        <is>
          <t>Score</t>
        </is>
      </c>
      <c r="H1" t="inlineStr">
        <is>
          <t>Customer</t>
        </is>
      </c>
    </row>
    <row customFormat="1" r="2" s="3">
      <c r="A2" s="12" t="n">
        <v>1065414</v>
      </c>
      <c r="B2" s="17" t="n">
        <v>333.33</v>
      </c>
      <c r="C2" s="3" t="inlineStr">
        <is>
          <t>Japan</t>
        </is>
      </c>
      <c r="D2" s="3">
        <f>IF(C2="US",INDEX($C$2:$C$27,MATCH(_xlfn.MAXIFS($B$2:$B$27,$A$2:$A$27,A2,$C$2:$C$27,"&lt;&gt;US"),$B$2:$B$27,0)),C2)</f>
        <v/>
      </c>
      <c r="H2" t="n">
        <v>38.66</v>
      </c>
    </row>
    <row customFormat="1" r="3" s="3">
      <c r="A3" s="12" t="inlineStr">
        <is>
          <t>1065414</t>
        </is>
      </c>
      <c r="B3" s="18" t="n">
        <v>-4160</v>
      </c>
      <c r="C3" s="3" t="inlineStr">
        <is>
          <t>Canada</t>
        </is>
      </c>
      <c r="D3" s="3">
        <f>IF(C3="US",INDEX($C$2:$C$27,MATCH(_xlfn.MAXIFS($B$2:$B$27,$A$2:$A$27,A3,$C$2:$C$27,"&lt;&gt;US"),$B$2:$B$27,0)),C3)</f>
        <v/>
      </c>
      <c r="H3" t="n">
        <v>22.02</v>
      </c>
    </row>
    <row customFormat="1" r="4" s="3">
      <c r="A4" s="12" t="inlineStr">
        <is>
          <t>1065414</t>
        </is>
      </c>
      <c r="B4" s="5" t="n">
        <v>4160</v>
      </c>
      <c r="C4" s="4" t="inlineStr">
        <is>
          <t>US</t>
        </is>
      </c>
      <c r="D4" s="3">
        <f>IF(C4="US",INDEX($C$2:$C$27,MATCH(_xlfn.MAXIFS($B$2:$B$27,$A$2:$A$27,A4,$C$2:$C$27,"&lt;&gt;US"),$B$2:$B$27,0)),C4)</f>
        <v/>
      </c>
      <c r="E4" s="3" t="inlineStr">
        <is>
          <t>Highest amount</t>
        </is>
      </c>
      <c r="G4" s="3" t="inlineStr">
        <is>
          <t>Customer 1065414 has the highest invoice amount in Canada</t>
        </is>
      </c>
      <c r="H4" t="n">
        <v>-61.55</v>
      </c>
    </row>
    <row customFormat="1" r="5" s="3">
      <c r="A5" s="12" t="inlineStr">
        <is>
          <t>1065414</t>
        </is>
      </c>
      <c r="B5" s="18" t="n">
        <v>432.84</v>
      </c>
      <c r="C5" s="3" t="inlineStr">
        <is>
          <t>Canada</t>
        </is>
      </c>
      <c r="D5" s="3">
        <f>IF(C5="US",INDEX($C$2:$C$27,MATCH(_xlfn.MAXIFS($B$2:$B$27,$A$2:$A$27,A5,$C$2:$C$27,"&lt;&gt;US"),$B$2:$B$27,0)),C5)</f>
        <v/>
      </c>
      <c r="H5" t="n">
        <v>-50.7</v>
      </c>
    </row>
    <row customFormat="1" r="6" s="3">
      <c r="A6" s="12" t="inlineStr">
        <is>
          <t>1065414</t>
        </is>
      </c>
      <c r="B6" s="18" t="n">
        <v>4995</v>
      </c>
      <c r="C6" s="3" t="inlineStr">
        <is>
          <t>Canada</t>
        </is>
      </c>
      <c r="D6" s="3">
        <f>IF(C6="US",INDEX($C$2:$C$27,MATCH(_xlfn.MAXIFS($B$2:$B$27,$A$2:$A$27,A6,$C$2:$C$27,"&lt;&gt;US"),$B$2:$B$27,0)),C6)</f>
        <v/>
      </c>
      <c r="H6" t="n">
        <v>11.62</v>
      </c>
    </row>
    <row customFormat="1" r="7" s="3">
      <c r="A7" s="12" t="n">
        <v>1001130</v>
      </c>
      <c r="B7" s="19" t="n">
        <v>141500</v>
      </c>
      <c r="C7" s="3" t="inlineStr">
        <is>
          <t>Japan</t>
        </is>
      </c>
      <c r="D7" s="3">
        <f>IF(C7="US",INDEX($C$2:$C$27,MATCH(_xlfn.MAXIFS($B$2:$B$27,$A$2:$A$27,A7,$C$2:$C$27,"&lt;&gt;US"),$B$2:$B$27,0)),C7)</f>
        <v/>
      </c>
      <c r="H7" t="n">
        <v>-55.03</v>
      </c>
    </row>
    <row r="8">
      <c r="A8" s="13" t="n">
        <v>1001130</v>
      </c>
      <c r="B8" s="15" t="n">
        <v>1122</v>
      </c>
      <c r="C8" s="3" t="inlineStr">
        <is>
          <t>Canada</t>
        </is>
      </c>
      <c r="D8" s="3">
        <f>IF(C8="US",INDEX($C$2:$C$27,MATCH(_xlfn.MAXIFS($B$2:$B$27,$A$2:$A$27,A8,$C$2:$C$27,"&lt;&gt;US"),$B$2:$B$27,0)),C8)</f>
        <v/>
      </c>
      <c r="H8" t="n">
        <v>94.58</v>
      </c>
    </row>
    <row r="9">
      <c r="A9" s="13" t="n">
        <v>1001130</v>
      </c>
      <c r="B9" t="n">
        <v>95600</v>
      </c>
      <c r="C9" s="4" t="inlineStr">
        <is>
          <t>US</t>
        </is>
      </c>
      <c r="D9" s="3">
        <f>IF(C9="US",INDEX($C$2:$C$27,MATCH(_xlfn.MAXIFS($B$2:$B$27,$A$2:$A$27,A9,$C$2:$C$27,"&lt;&gt;US"),$B$2:$B$27,0)),C9)</f>
        <v/>
      </c>
      <c r="E9" s="3" t="inlineStr">
        <is>
          <t>Highest amount</t>
        </is>
      </c>
      <c r="G9" s="3" t="inlineStr">
        <is>
          <t>Customer 1001130 has the highest invoice amount in Japan</t>
        </is>
      </c>
      <c r="H9" t="n">
        <v>-40.48</v>
      </c>
    </row>
    <row r="10">
      <c r="A10" s="13" t="n">
        <v>1001130</v>
      </c>
      <c r="B10" s="15" t="n">
        <v>18570</v>
      </c>
      <c r="C10" s="3" t="inlineStr">
        <is>
          <t>Canada</t>
        </is>
      </c>
      <c r="D10" s="3">
        <f>IF(C10="US",INDEX($C$2:$C$27,MATCH(_xlfn.MAXIFS($B$2:$B$27,$A$2:$A$27,A10,$C$2:$C$27,"&lt;&gt;US"),$B$2:$B$27,0)),C10)</f>
        <v/>
      </c>
      <c r="H10" t="n">
        <v>-42.2</v>
      </c>
    </row>
    <row r="11">
      <c r="A11" s="13" t="n">
        <v>1001130</v>
      </c>
      <c r="B11" s="15" t="n">
        <v>4748</v>
      </c>
      <c r="C11" s="3" t="inlineStr">
        <is>
          <t>Canada</t>
        </is>
      </c>
      <c r="D11" s="3">
        <f>IF(C11="US",INDEX($C$2:$C$27,MATCH(_xlfn.MAXIFS($B$2:$B$27,$A$2:$A$27,A11,$C$2:$C$27,"&lt;&gt;US"),$B$2:$B$27,0)),C11)</f>
        <v/>
      </c>
      <c r="H11" t="n">
        <v>-58.54</v>
      </c>
    </row>
    <row r="12">
      <c r="A12" s="13" t="n">
        <v>1001130</v>
      </c>
      <c r="B12" t="n">
        <v>71236</v>
      </c>
      <c r="C12" s="4" t="inlineStr">
        <is>
          <t>US</t>
        </is>
      </c>
      <c r="D12" s="3">
        <f>IF(C12="US",INDEX($C$2:$C$27,MATCH(_xlfn.MAXIFS($B$2:$B$27,$A$2:$A$27,A12,$C$2:$C$27,"&lt;&gt;US"),$B$2:$B$27,0)),C12)</f>
        <v/>
      </c>
      <c r="E12" s="3" t="inlineStr">
        <is>
          <t>Highest amount</t>
        </is>
      </c>
      <c r="H12" t="n">
        <v>41</v>
      </c>
    </row>
    <row r="13">
      <c r="A13" s="13" t="n">
        <v>1001130</v>
      </c>
      <c r="B13" s="5" t="n">
        <v>31450</v>
      </c>
      <c r="C13" s="4" t="inlineStr">
        <is>
          <t>US</t>
        </is>
      </c>
      <c r="D13" s="3">
        <f>IF(C13="US",INDEX($C$2:$C$27,MATCH(_xlfn.MAXIFS($B$2:$B$27,$A$2:$A$27,A13,$C$2:$C$27,"&lt;&gt;US"),$B$2:$B$27,0)),C13)</f>
        <v/>
      </c>
      <c r="E13" s="3" t="inlineStr">
        <is>
          <t>Highest amount</t>
        </is>
      </c>
      <c r="H13" t="n">
        <v>-36.59</v>
      </c>
    </row>
    <row r="14">
      <c r="A14" s="13" t="n">
        <v>1019559</v>
      </c>
      <c r="B14" s="17" t="n">
        <v>1494</v>
      </c>
      <c r="C14" s="3" t="inlineStr">
        <is>
          <t>Canada</t>
        </is>
      </c>
      <c r="D14" s="3">
        <f>IF(C14="US",INDEX($C$2:$C$27,MATCH(_xlfn.MAXIFS($B$2:$B$27,$A$2:$A$27,A14,$C$2:$C$27,"&lt;&gt;US"),$B$2:$B$27,0)),C14)</f>
        <v/>
      </c>
      <c r="H14" t="n">
        <v>-30.24</v>
      </c>
    </row>
    <row r="15">
      <c r="A15" s="13" t="n">
        <v>1019559</v>
      </c>
      <c r="B15" s="17" t="n">
        <v>5398</v>
      </c>
      <c r="C15" s="3" t="inlineStr">
        <is>
          <t>Canada</t>
        </is>
      </c>
      <c r="D15" s="3">
        <f>IF(C15="US",INDEX($C$2:$C$27,MATCH(_xlfn.MAXIFS($B$2:$B$27,$A$2:$A$27,A15,$C$2:$C$27,"&lt;&gt;US"),$B$2:$B$27,0)),C15)</f>
        <v/>
      </c>
      <c r="H15" t="n">
        <v>86.73999999999999</v>
      </c>
    </row>
    <row r="16">
      <c r="A16" s="13" t="n">
        <v>1019559</v>
      </c>
      <c r="B16" s="17" t="n">
        <v>34100</v>
      </c>
      <c r="C16" s="4" t="inlineStr">
        <is>
          <t>US</t>
        </is>
      </c>
      <c r="D16" s="3">
        <f>IF(C16="US",INDEX($C$2:$C$27,MATCH(_xlfn.MAXIFS($B$2:$B$27,$A$2:$A$27,A16,$C$2:$C$27,"&lt;&gt;US"),$B$2:$B$27,0)),C16)</f>
        <v/>
      </c>
      <c r="E16" s="3" t="inlineStr">
        <is>
          <t>Highest amount</t>
        </is>
      </c>
      <c r="H16" t="n">
        <v>59.08</v>
      </c>
    </row>
    <row r="17">
      <c r="A17" s="13" t="n">
        <v>1019559</v>
      </c>
      <c r="B17" s="17" t="n">
        <v>43485</v>
      </c>
      <c r="C17" s="3" t="inlineStr">
        <is>
          <t>Japan</t>
        </is>
      </c>
      <c r="D17" s="3">
        <f>IF(C17="US",INDEX($C$2:$C$27,MATCH(_xlfn.MAXIFS($B$2:$B$27,$A$2:$A$27,A17,$C$2:$C$27,"&lt;&gt;US"),$B$2:$B$27,0)),C17)</f>
        <v/>
      </c>
      <c r="H17" t="n">
        <v>-45.31</v>
      </c>
    </row>
    <row r="18">
      <c r="A18" s="13" t="n">
        <v>1019559</v>
      </c>
      <c r="B18" s="17" t="n">
        <v>6250</v>
      </c>
      <c r="C18" s="3" t="inlineStr">
        <is>
          <t>Canada</t>
        </is>
      </c>
      <c r="D18" s="3">
        <f>IF(C18="US",INDEX($C$2:$C$27,MATCH(_xlfn.MAXIFS($B$2:$B$27,$A$2:$A$27,A18,$C$2:$C$27,"&lt;&gt;US"),$B$2:$B$27,0)),C18)</f>
        <v/>
      </c>
      <c r="H18" t="n">
        <v>-75.63</v>
      </c>
    </row>
    <row r="19">
      <c r="A19" s="13" t="n">
        <v>1019559</v>
      </c>
      <c r="B19" s="17" t="n">
        <v>47260</v>
      </c>
      <c r="C19" s="4" t="inlineStr">
        <is>
          <t>US</t>
        </is>
      </c>
      <c r="D19" s="3">
        <f>IF(C19="US",INDEX($C$2:$C$27,MATCH(_xlfn.MAXIFS($B$2:$B$27,$A$2:$A$27,A19,$C$2:$C$27,"&lt;&gt;US"),$B$2:$B$27,0)),C19)</f>
        <v/>
      </c>
      <c r="E19" s="3" t="inlineStr">
        <is>
          <t>Highest amount</t>
        </is>
      </c>
      <c r="H19" t="n">
        <v>35.32</v>
      </c>
    </row>
    <row r="20">
      <c r="A20" s="13" t="n">
        <v>1029551</v>
      </c>
      <c r="B20" s="17" t="n">
        <v>11227</v>
      </c>
      <c r="C20" s="3" t="inlineStr">
        <is>
          <t>Canada</t>
        </is>
      </c>
      <c r="D20" s="3">
        <f>IF(C20="US",INDEX($C$2:$C$27,MATCH(_xlfn.MAXIFS($B$2:$B$27,$A$2:$A$27,A20,$C$2:$C$27,"&lt;&gt;US"),$B$2:$B$27,0)),C20)</f>
        <v/>
      </c>
      <c r="H20" t="n">
        <v>-24.06</v>
      </c>
    </row>
    <row r="21">
      <c r="A21" s="13" t="n">
        <v>1029551</v>
      </c>
      <c r="B21" s="17" t="n">
        <v>45450</v>
      </c>
      <c r="C21" s="3" t="inlineStr">
        <is>
          <t>Canada</t>
        </is>
      </c>
      <c r="D21" s="3">
        <f>IF(C21="US",INDEX($C$2:$C$27,MATCH(_xlfn.MAXIFS($B$2:$B$27,$A$2:$A$27,A21,$C$2:$C$27,"&lt;&gt;US"),$B$2:$B$27,0)),C21)</f>
        <v/>
      </c>
      <c r="H21" t="n">
        <v>96.03</v>
      </c>
    </row>
    <row r="22">
      <c r="A22" s="13" t="n">
        <v>1029551</v>
      </c>
      <c r="B22" s="17" t="n">
        <v>275000</v>
      </c>
      <c r="C22" s="4" t="inlineStr">
        <is>
          <t>US</t>
        </is>
      </c>
      <c r="D22" s="3">
        <f>IF(C22="US",INDEX($C$2:$C$27,MATCH(_xlfn.MAXIFS($B$2:$B$27,$A$2:$A$27,A22,$C$2:$C$27,"&lt;&gt;US"),$B$2:$B$27,0)),C22)</f>
        <v/>
      </c>
      <c r="E22" s="3" t="inlineStr">
        <is>
          <t>Highest amount</t>
        </is>
      </c>
      <c r="H22" t="n">
        <v>63.68</v>
      </c>
    </row>
    <row r="23">
      <c r="A23" s="13" t="n">
        <v>1029551</v>
      </c>
      <c r="B23" s="17" t="n">
        <v>27900</v>
      </c>
      <c r="C23" s="3" t="inlineStr">
        <is>
          <t>Japan</t>
        </is>
      </c>
      <c r="D23" s="3">
        <f>IF(C23="US",INDEX($C$2:$C$27,MATCH(_xlfn.MAXIFS($B$2:$B$27,$A$2:$A$27,A23,$C$2:$C$27,"&lt;&gt;US"),$B$2:$B$27,0)),C23)</f>
        <v/>
      </c>
      <c r="H23" t="n">
        <v>90.92</v>
      </c>
    </row>
    <row r="24">
      <c r="A24" s="13" t="n">
        <v>1029551</v>
      </c>
      <c r="B24" s="17" t="n">
        <v>10500</v>
      </c>
      <c r="C24" s="3" t="inlineStr">
        <is>
          <t>Canada</t>
        </is>
      </c>
      <c r="D24" s="3">
        <f>IF(C24="US",INDEX($C$2:$C$27,MATCH(_xlfn.MAXIFS($B$2:$B$27,$A$2:$A$27,A24,$C$2:$C$27,"&lt;&gt;US"),$B$2:$B$27,0)),C24)</f>
        <v/>
      </c>
      <c r="H24" t="n">
        <v>60.92</v>
      </c>
    </row>
    <row r="25">
      <c r="A25" s="13" t="n">
        <v>1029551</v>
      </c>
      <c r="B25" s="17" t="n">
        <v>21845</v>
      </c>
      <c r="C25" s="4" t="inlineStr">
        <is>
          <t>US</t>
        </is>
      </c>
      <c r="D25" s="3">
        <f>IF(C25="US",INDEX($C$2:$C$27,MATCH(_xlfn.MAXIFS($B$2:$B$27,$A$2:$A$27,A25,$C$2:$C$27,"&lt;&gt;US"),$B$2:$B$27,0)),C25)</f>
        <v/>
      </c>
      <c r="E25" s="3" t="inlineStr">
        <is>
          <t>Highest amount</t>
        </is>
      </c>
      <c r="H25" t="n">
        <v>-41.91</v>
      </c>
    </row>
    <row r="26">
      <c r="A26" s="13" t="n">
        <v>1029551</v>
      </c>
      <c r="B26" s="17" t="n">
        <v>11888</v>
      </c>
      <c r="C26" s="3" t="inlineStr">
        <is>
          <t>China</t>
        </is>
      </c>
      <c r="D26" s="3">
        <f>IF(C26="US",INDEX($C$2:$C$27,MATCH(_xlfn.MAXIFS($B$2:$B$27,$A$2:$A$27,A26,$C$2:$C$27,"&lt;&gt;US"),$B$2:$B$27,0)),C26)</f>
        <v/>
      </c>
      <c r="H26" t="n">
        <v>-42.47</v>
      </c>
    </row>
    <row r="27">
      <c r="A27" s="13" t="n">
        <v>1029551</v>
      </c>
      <c r="B27" s="15" t="n">
        <v>160195</v>
      </c>
      <c r="C27" s="3" t="inlineStr">
        <is>
          <t>China</t>
        </is>
      </c>
      <c r="D27" s="3">
        <f>IF(C27="US",INDEX($C$2:$C$27,MATCH(_xlfn.MAXIFS($B$2:$B$27,$A$2:$A$27,A27,$C$2:$C$27,"&lt;&gt;US"),$B$2:$B$27,0)),C27)</f>
        <v/>
      </c>
      <c r="H27" t="n">
        <v>42.83</v>
      </c>
    </row>
  </sheetData>
  <autoFilter ref="A1:AY27"/>
  <pageMargins bottom="0.75" footer="0.3" header="0.3" left="0.7" right="0.7" top="0.75"/>
  <pageSetup horizontalDpi="1200" orientation="portrait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2021-06-25T18:30:25Z</dcterms:created>
  <dcterms:modified xsi:type="dcterms:W3CDTF">2026-05-07T22:44:13Z</dcterms:modified>
  <cp:lastModifiedBy>煜 陈</cp:lastModifiedBy>
</cp:coreProperties>
</file>