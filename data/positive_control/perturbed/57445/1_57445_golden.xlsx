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947" visibility="visible" windowHeight="6880" windowWidth="18350"/>
  </bookViews>
  <sheets>
    <sheet name="Pricing" sheetId="1" state="visible" r:id="rId1"/>
    <sheet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6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7" fontId="12" numFmtId="0">
      <alignment vertical="center"/>
    </xf>
    <xf applyAlignment="1" borderId="6" fillId="8" fontId="13" numFmtId="0">
      <alignment vertical="center"/>
    </xf>
    <xf applyAlignment="1" borderId="5" fillId="8" fontId="14" numFmtId="0">
      <alignment vertical="center"/>
    </xf>
    <xf applyAlignment="1" borderId="7" fillId="9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2" numFmtId="0">
      <alignment vertical="center"/>
    </xf>
    <xf applyAlignment="1" borderId="0" fillId="35" fontId="22" numFmtId="0">
      <alignment vertical="center"/>
    </xf>
    <xf applyAlignment="1" borderId="0" fillId="36" fontId="21" numFmtId="0">
      <alignment vertical="center"/>
    </xf>
    <xf borderId="1" fillId="0" fontId="2" numFmtId="0"/>
  </cellStyleXfs>
  <cellXfs count="16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 vertical="center"/>
    </xf>
    <xf applyAlignment="1" borderId="1" fillId="2" fontId="1" numFmtId="0" pivotButton="0" quotePrefix="0" xfId="0">
      <alignment horizontal="center" vertical="center"/>
    </xf>
    <xf applyAlignment="1" borderId="1" fillId="3" fontId="1" numFmtId="2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2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2" numFmtId="2" pivotButton="0" quotePrefix="0" xfId="0">
      <alignment horizontal="center" vertical="center"/>
    </xf>
    <xf applyAlignment="1" borderId="0" fillId="0" fontId="0" numFmtId="2" pivotButton="0" quotePrefix="0" xfId="0">
      <alignment horizontal="center" vertical="center"/>
    </xf>
    <xf applyAlignment="1" borderId="0" fillId="2" fontId="1" numFmtId="0" pivotButton="0" quotePrefix="0" xfId="0">
      <alignment horizontal="center" vertical="center"/>
    </xf>
    <xf applyAlignment="1" borderId="0" fillId="2" fontId="1" numFmtId="2" pivotButton="0" quotePrefix="0" xfId="0">
      <alignment horizontal="center" vertical="center"/>
    </xf>
    <xf applyAlignment="1" borderId="0" fillId="4" fontId="1" numFmtId="0" pivotButton="0" quotePrefix="0" xfId="0">
      <alignment horizontal="center" vertical="center"/>
    </xf>
    <xf applyAlignment="1" borderId="0" fillId="5" fontId="0" numFmtId="164" pivotButton="0" quotePrefix="0" xfId="0">
      <alignment vertical="center"/>
    </xf>
    <xf applyAlignment="1" borderId="0" fillId="5" fontId="0" numFmtId="164" pivotButton="0" quotePrefix="0" xfId="0">
      <alignment vertic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Grid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 zoomScale="85" zoomScaleNormal="85">
      <pane activePane="bottomLeft" state="frozen" topLeftCell="A2" ySplit="1"/>
      <selection activeCell="A1" sqref="A1"/>
      <selection activeCell="E2" pane="bottomLeft" sqref="E2"/>
    </sheetView>
  </sheetViews>
  <sheetFormatPr baseColWidth="8" customHeight="1" defaultColWidth="9.109090909090909" defaultRowHeight="17.25" outlineLevelRow="4"/>
  <cols>
    <col customWidth="1" max="1" min="1" style="2" width="12.6636363636364"/>
    <col customWidth="1" max="2" min="2" style="2" width="26.3363636363636"/>
    <col customWidth="1" max="4" min="3" style="10" width="15"/>
    <col customWidth="1" max="5" min="5" style="2" width="15.4454545454545"/>
    <col customWidth="1" max="16384" min="6" style="1" width="9.109090909090909"/>
  </cols>
  <sheetData>
    <row r="1">
      <c r="A1" s="11" t="inlineStr">
        <is>
          <t>Origin</t>
        </is>
      </c>
      <c r="B1" s="11" t="inlineStr">
        <is>
          <t>Label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Period</t>
        </is>
      </c>
      <c r="G1" t="inlineStr">
        <is>
          <t>Part No.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>
        <f ref="E2" t="array">LOOKUP(D2,'Package &amp; Weight Data'!$B$2:$B$10/('Package &amp; Weight Data'!$A$2:$A$10=Pricing!C2),'Package &amp; Weight Data'!$D$2:$D$10)</f>
        <v/>
      </c>
      <c r="F2" s="15" t="n"/>
      <c r="G2" t="n">
        <v>-45.35</v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>
        <f>LOOKUP(D3,'Package &amp; Weight Data'!$B$2:$B$10/('Package &amp; Weight Data'!$A$2:$A$10=Pricing!C3),'Package &amp; Weight Data'!$D$2:$D$10)</f>
        <v/>
      </c>
      <c r="F3" s="15" t="n"/>
      <c r="G3" t="n">
        <v>52.48</v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>
        <f>LOOKUP(D4,'Package &amp; Weight Data'!$B$2:$B$10/('Package &amp; Weight Data'!$A$2:$A$10=Pricing!C4),'Package &amp; Weight Data'!$D$2:$D$10)</f>
        <v/>
      </c>
      <c r="F4" s="15" t="n"/>
      <c r="G4" t="n">
        <v>84.31</v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>
        <f ref="E5" t="array">LOOKUP(D5,'Package &amp; Weight Data'!$B$2:$B$10/('Package &amp; Weight Data'!$A$2:$A$10=Pricing!C5),'Package &amp; Weight Data'!$D$2:$D$10)</f>
        <v/>
      </c>
      <c r="F5" s="15" t="n"/>
      <c r="G5" t="n">
        <v>-29.8</v>
      </c>
    </row>
  </sheetData>
  <pageMargins bottom="1" footer="0.5" header="0.5" left="0.75" right="0.75" top="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 zoomScale="85" zoomScaleNormal="85">
      <selection activeCell="B16" sqref="B16"/>
    </sheetView>
  </sheetViews>
  <sheetFormatPr baseColWidth="8" customHeight="1" defaultColWidth="9.109090909090909" defaultRowHeight="17.25"/>
  <cols>
    <col customWidth="1" max="1" min="1" style="1" width="16.6636363636364"/>
    <col customWidth="1" max="2" min="2" style="1" width="17.4454545454545"/>
    <col customWidth="1" max="3" min="3" style="2" width="16.1090909090909"/>
    <col customWidth="1" max="4" min="4" style="1" width="8.445454545454551"/>
    <col customWidth="1" max="16384" min="5" style="1" width="9.109090909090909"/>
  </cols>
  <sheetData>
    <row r="1">
      <c r="A1" s="3" t="inlineStr">
        <is>
          <t>Package Type</t>
        </is>
      </c>
      <c r="B1" s="3" t="inlineStr">
        <is>
          <t>Level</t>
        </is>
      </c>
      <c r="C1" s="3" t="inlineStr">
        <is>
          <t>Metric</t>
        </is>
      </c>
      <c r="D1" s="4" t="inlineStr">
        <is>
          <t>Zone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parker</dc:creator>
  <dcterms:created xsi:type="dcterms:W3CDTF">2007-06-09T16:38:00Z</dcterms:created>
  <dcterms:modified xsi:type="dcterms:W3CDTF">2026-05-07T22:44:12Z</dcterms:modified>
  <cp:lastModifiedBy>。。。</cp:lastModifiedBy>
  <cp:lastPrinted>2009-10-16T14:02:00Z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144155204BDC4039BA91BDD148361C03_13</vt:lpwstr>
  </property>
  <property fmtid="{D5CDD505-2E9C-101B-9397-08002B2CF9AE}" name="KSOProductBuildVer" pid="3">
    <vt:lpwstr>2052-12.1.0.16729</vt:lpwstr>
  </property>
</Properties>
</file>