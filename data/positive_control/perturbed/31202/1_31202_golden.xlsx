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Metrics" sheetId="1" state="visible" r:id="rId1"/>
  </sheets>
  <definedNames>
    <definedName name="listaEmpleados">tblEmpleados[NOMBRE]</definedName>
    <definedName name="listaProveedores">'D:\文档\verify_table\4.18\31202\Balance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_-&quot;$&quot;* #,##0.00_-;\-&quot;$&quot;* #,##0.00_-;_-&quot;$&quot;* &quot;-&quot;??_-;_-@_-" numFmtId="164"/>
  </numFmts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borderId="0" fillId="0" fontId="0" numFmtId="164"/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8">
    <xf borderId="0" fillId="0" fontId="0" numFmtId="0" pivotButton="0" quotePrefix="0" xfId="0"/>
    <xf borderId="0" fillId="0" fontId="0" numFmtId="164" pivotButton="0" quotePrefix="0" xfId="2"/>
    <xf borderId="0" fillId="0" fontId="0" numFmtId="14" pivotButton="0" quotePrefix="0" xfId="0"/>
    <xf borderId="0" fillId="0" fontId="0" numFmtId="0" pivotButton="0" quotePrefix="0" xfId="2"/>
    <xf borderId="0" fillId="0" fontId="1" numFmtId="0" pivotButton="0" quotePrefix="0" xfId="0"/>
    <xf borderId="0" fillId="0" fontId="0" numFmtId="164" pivotButton="0" quotePrefix="0" xfId="0"/>
    <xf borderId="0" fillId="0" fontId="0" numFmtId="164" pivotButton="0" quotePrefix="0" xfId="2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7"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font>
        <name val="Calibri"/>
        <family val="2"/>
        <strike val="0"/>
        <color theme="1"/>
        <sz val="11"/>
      </font>
    </dxf>
    <dxf>
      <numFmt formatCode="dd/mm/yyyy" numFmtId="177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blNomina" headerRowCount="1" id="1" name="tblNomina" ref="A1:J48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dataDxfId="0" id="11" name="WEEK">
      <calculatedColumnFormula>WEEKNUM(tblNomina[[#This Row],[DATE]])</calculatedColumnFormula>
    </tableColumn>
    <tableColumn id="3" name="WORKER"/>
    <tableColumn dataDxfId="1" id="5" name="DAILY WAGE">
      <calculatedColumnFormula>(VLOOKUP(tblNomina[[#This Row],[WORKER]],tblEmpleados[[NOMBRE]:[FECHA INGRESO]],3,FALSE)-VLOOKUP(tblNomina[[#This Row],[WORKER]],tblEmpleados[[NOMBRE]:[DEDUCCIONES]],6,FALSE))/7</calculatedColumnFormula>
    </tableColumn>
    <tableColumn dataDxfId="2" id="6" name="DAYS WORKED"/>
    <tableColumn id="7" name="DEDUCTIONS"/>
    <tableColumn id="8" name="ADDITIONS"/>
    <tableColumn dataDxfId="3" id="9" name="TOTAL" totalsRowFunction="sum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>
      <calculatedColumnFormula>SUMIFS(H$2:H2,D$2:D2,D2)-SUMIFS(G$2:G2,D$2:D2,D2)</calculatedColumnFormula>
    </tableColumn>
  </tableColumns>
  <tableStyleInfo name="TableStyleDark1" showColumnStripes="0" showFirstColumn="0" showLastColumn="0" showRowStripes="1"/>
</table>
</file>

<file path=xl/tables/table2.xml><?xml version="1.0" encoding="utf-8"?>
<table xmlns="http://schemas.openxmlformats.org/spreadsheetml/2006/main" displayName="tblEmpleados" headerRowCount="1" id="2" name="tblEmpleados" ref="L2:R13" totalsRowShown="0">
  <autoFilter ref="L2:R13"/>
  <tableColumns count="7">
    <tableColumn dataDxfId="4" id="1" name="ID">
      <calculatedColumnFormula>ROW()-ROW(tblEmpleados[[#Headers],[ID]])</calculatedColumnFormula>
    </tableColumn>
    <tableColumn id="2" name="NOMBRE"/>
    <tableColumn id="3" name="PUESTO"/>
    <tableColumn id="4" name="SALARIO"/>
    <tableColumn dataDxfId="5" id="6" name="DEPARTAMENTO"/>
    <tableColumn dataDxfId="6" id="5" name="FECHA INGRESO"/>
    <tableColumn id="7" name="DEDUCCIONES"/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 fitToPage="1"/>
  </sheetPr>
  <dimension ref="A1:S48"/>
  <sheetViews>
    <sheetView tabSelected="1" workbookViewId="0" zoomScale="115" zoomScaleNormal="115">
      <pane activePane="bottomLeft" state="frozen" topLeftCell="A2" ySplit="1"/>
      <selection activeCell="A1" sqref="A1"/>
      <selection activeCell="L27" pane="bottomLeft" sqref="L27"/>
    </sheetView>
  </sheetViews>
  <sheetFormatPr baseColWidth="8" defaultColWidth="11" defaultRowHeight="14"/>
  <cols>
    <col customWidth="1" max="3" min="3" width="9.56666666666667"/>
    <col customWidth="1" max="4" min="4" width="37.425"/>
    <col customWidth="1" max="5" min="5" width="19.2833333333333"/>
    <col customWidth="1" max="6" min="6" style="6" width="15.2833333333333"/>
    <col customWidth="1" max="7" min="7" style="6" width="15.7083333333333"/>
    <col customWidth="1" max="8" min="8" style="6" width="11.5666666666667"/>
    <col customWidth="1" max="9" min="9" style="6" width="12.5666666666667"/>
    <col customWidth="1" max="13" min="13" width="37.425"/>
    <col customWidth="1" max="14" min="14" width="25.425"/>
    <col customWidth="1" max="15" min="15" width="12.2833333333333"/>
    <col customWidth="1" max="16" min="16" width="19.7083333333333"/>
    <col customWidth="1" max="18" min="18" width="16"/>
  </cols>
  <sheetData>
    <row r="1">
      <c r="A1" t="inlineStr">
        <is>
          <t>Rating</t>
        </is>
      </c>
      <c r="B1" t="inlineStr">
        <is>
          <t>Vendor</t>
        </is>
      </c>
      <c r="C1" t="inlineStr">
        <is>
          <t>Flag</t>
        </is>
      </c>
      <c r="D1" t="inlineStr">
        <is>
          <t>Segment</t>
        </is>
      </c>
      <c r="E1" s="6" t="inlineStr">
        <is>
          <t>Grade</t>
        </is>
      </c>
      <c r="F1" t="inlineStr">
        <is>
          <t>Sector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Marker</t>
        </is>
      </c>
      <c r="J1" s="6" t="inlineStr">
        <is>
          <t>DEBT</t>
        </is>
      </c>
      <c r="L1" t="inlineStr">
        <is>
          <t>Region</t>
        </is>
      </c>
      <c r="O1" s="6" t="n"/>
      <c r="S1" t="inlineStr">
        <is>
          <t>DATE</t>
        </is>
      </c>
    </row>
    <row customHeight="1" ht="13.5" r="2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>
        <f>SUMIFS(H$2:H2,D$2:D2,D2)-SUMIFS(G$2:G2,D$2:D2,D2)</f>
        <v/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  <c r="S2" t="n">
        <v>-98.81</v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>
        <f>SUMIFS(H$2:H3,D$2:D3,D3)-SUMIFS(G$2:G3,D$2:D3,D3)</f>
        <v/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  <c r="S3" t="n">
        <v>61.5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>
        <f>SUMIFS(H$2:H4,D$2:D4,D4)-SUMIFS(G$2:G4,D$2:D4,D4)</f>
        <v/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  <c r="S4" t="n">
        <v>74.98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>
        <f>SUMIFS(H$2:H5,D$2:D5,D5)-SUMIFS(G$2:G5,D$2:D5,D5)</f>
        <v/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  <c r="S5" t="n">
        <v>-7.96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>
        <f>SUMIFS(H$2:H6,D$2:D6,D6)-SUMIFS(G$2:G6,D$2:D6,D6)</f>
        <v/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  <c r="S6" t="n">
        <v>-89.13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>
        <f>SUMIFS(H$2:H7,D$2:D7,D7)-SUMIFS(G$2:G7,D$2:D7,D7)</f>
        <v/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  <c r="S7" t="n">
        <v>-89.06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>
        <f>SUMIFS(H$2:H8,D$2:D8,D8)-SUMIFS(G$2:G8,D$2:D8,D8)</f>
        <v/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  <c r="S8" t="n">
        <v>65.98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>
        <f>SUMIFS(H$2:H9,D$2:D9,D9)-SUMIFS(G$2:G9,D$2:D9,D9)</f>
        <v/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  <c r="S9" t="n">
        <v>29.98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>
        <f>SUMIFS(H$2:H10,D$2:D10,D10)-SUMIFS(G$2:G10,D$2:D10,D10)</f>
        <v/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  <c r="S10" t="n">
        <v>-33.3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>
        <f>SUMIFS(H$2:H11,D$2:D11,D11)-SUMIFS(G$2:G11,D$2:D11,D11)</f>
        <v/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  <c r="S11" t="n">
        <v>-80.52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>
        <f>SUMIFS(H$2:H12,D$2:D12,D12)-SUMIFS(G$2:G12,D$2:D12,D12)</f>
        <v/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  <c r="S12" t="n">
        <v>-41.88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>
        <f>SUMIFS(H$2:H13,D$2:D13,D13)-SUMIFS(G$2:G13,D$2:D13,D13)</f>
        <v/>
      </c>
      <c r="L13">
        <f>ROW()-ROW(tblEmpleados[[#Headers],[ID]])</f>
        <v/>
      </c>
      <c r="O13" s="6" t="n"/>
      <c r="P13" s="6" t="n"/>
      <c r="Q13" s="2" t="n"/>
      <c r="R13" s="6" t="n"/>
      <c r="S13" t="n">
        <v>-3.71</v>
      </c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>
        <f>SUMIFS(H$2:H14,D$2:D14,D14)-SUMIFS(G$2:G14,D$2:D14,D14)</f>
        <v/>
      </c>
      <c r="S14" t="n">
        <v>-33.74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>
        <f>SUMIFS(H$2:H15,D$2:D15,D15)-SUMIFS(G$2:G15,D$2:D15,D15)</f>
        <v/>
      </c>
      <c r="S15" t="n">
        <v>-87.83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>
        <f>SUMIFS(H$2:H16,D$2:D16,D16)-SUMIFS(G$2:G16,D$2:D16,D16)</f>
        <v/>
      </c>
      <c r="S16" t="n">
        <v>48.09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>
        <f>SUMIFS(H$2:H17,D$2:D17,D17)-SUMIFS(G$2:G17,D$2:D17,D17)</f>
        <v/>
      </c>
      <c r="S17" t="n">
        <v>34.88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>
        <f>SUMIFS(H$2:H18,D$2:D18,D18)-SUMIFS(G$2:G18,D$2:D18,D18)</f>
        <v/>
      </c>
      <c r="S18" t="n">
        <v>47.87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>
        <f>SUMIFS(H$2:H19,D$2:D19,D19)-SUMIFS(G$2:G19,D$2:D19,D19)</f>
        <v/>
      </c>
      <c r="S19" t="n">
        <v>-89.40000000000001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>
        <f>SUMIFS(H$2:H20,D$2:D20,D20)-SUMIFS(G$2:G20,D$2:D20,D20)</f>
        <v/>
      </c>
      <c r="S20" t="n">
        <v>-58.99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>
        <f>SUMIFS(H$2:H21,D$2:D21,D21)-SUMIFS(G$2:G21,D$2:D21,D21)</f>
        <v/>
      </c>
      <c r="S21" t="n">
        <v>-71.17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>
        <f>SUMIFS(H$2:H22,D$2:D22,D22)-SUMIFS(G$2:G22,D$2:D22,D22)</f>
        <v/>
      </c>
      <c r="S22" t="n">
        <v>48.08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>
        <f>SUMIFS(H$2:H23,D$2:D23,D23)-SUMIFS(G$2:G23,D$2:D23,D23)</f>
        <v/>
      </c>
      <c r="S23" t="n">
        <v>-0.9399999999999999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>
        <f>SUMIFS(H$2:H24,D$2:D24,D24)-SUMIFS(G$2:G24,D$2:D24,D24)</f>
        <v/>
      </c>
      <c r="S24" t="n">
        <v>-55.29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>
        <f>SUMIFS(H$2:H25,D$2:D25,D25)-SUMIFS(G$2:G25,D$2:D25,D25)</f>
        <v/>
      </c>
      <c r="S25" t="n">
        <v>35.14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>
        <f>SUMIFS(H$2:H26,D$2:D26,D26)-SUMIFS(G$2:G26,D$2:D26,D26)</f>
        <v/>
      </c>
      <c r="S26" t="n">
        <v>70.45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>
        <f>SUMIFS(H$2:H27,D$2:D27,D27)-SUMIFS(G$2:G27,D$2:D27,D27)</f>
        <v/>
      </c>
      <c r="S27" t="n">
        <v>-39.82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>
        <f>SUMIFS(H$2:H28,D$2:D28,D28)-SUMIFS(G$2:G28,D$2:D28,D28)</f>
        <v/>
      </c>
      <c r="S28" t="n">
        <v>-37.82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>
        <f>SUMIFS(H$2:H29,D$2:D29,D29)-SUMIFS(G$2:G29,D$2:D29,D29)</f>
        <v/>
      </c>
      <c r="S29" t="n">
        <v>97.83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>
        <f>SUMIFS(H$2:H30,D$2:D30,D30)-SUMIFS(G$2:G30,D$2:D30,D30)</f>
        <v/>
      </c>
      <c r="S30" t="n">
        <v>-98.70999999999999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>
        <f>SUMIFS(H$2:H31,D$2:D31,D31)-SUMIFS(G$2:G31,D$2:D31,D31)</f>
        <v/>
      </c>
      <c r="S31" t="n">
        <v>-3.01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>
        <f>SUMIFS(H$2:H32,D$2:D32,D32)-SUMIFS(G$2:G32,D$2:D32,D32)</f>
        <v/>
      </c>
      <c r="S32" t="n">
        <v>37.55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>
        <f>SUMIFS(H$2:H33,D$2:D33,D33)-SUMIFS(G$2:G33,D$2:D33,D33)</f>
        <v/>
      </c>
      <c r="S33" t="n">
        <v>-77.06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>
        <f>SUMIFS(H$2:H34,D$2:D34,D34)-SUMIFS(G$2:G34,D$2:D34,D34)</f>
        <v/>
      </c>
      <c r="S34" t="n">
        <v>-99.98999999999999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>
        <f>SUMIFS(H$2:H35,D$2:D35,D35)-SUMIFS(G$2:G35,D$2:D35,D35)</f>
        <v/>
      </c>
      <c r="S35" t="n">
        <v>20.76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>
        <f>SUMIFS(H$2:H36,D$2:D36,D36)-SUMIFS(G$2:G36,D$2:D36,D36)</f>
        <v/>
      </c>
      <c r="S36" t="n">
        <v>-75.79000000000001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>
        <f>SUMIFS(H$2:H37,D$2:D37,D37)-SUMIFS(G$2:G37,D$2:D37,D37)</f>
        <v/>
      </c>
      <c r="S37" t="n">
        <v>-80.63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>
        <f>SUMIFS(H$2:H38,D$2:D38,D38)-SUMIFS(G$2:G38,D$2:D38,D38)</f>
        <v/>
      </c>
      <c r="S38" t="n">
        <v>-59.14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>
        <f>SUMIFS(H$2:H39,D$2:D39,D39)-SUMIFS(G$2:G39,D$2:D39,D39)</f>
        <v/>
      </c>
      <c r="S39" t="n">
        <v>-5.25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>
        <f>SUMIFS(H$2:H40,D$2:D40,D40)-SUMIFS(G$2:G40,D$2:D40,D40)</f>
        <v/>
      </c>
      <c r="S40" t="n">
        <v>66.55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>
        <f>SUMIFS(H$2:H41,D$2:D41,D41)-SUMIFS(G$2:G41,D$2:D41,D41)</f>
        <v/>
      </c>
      <c r="S41" t="n">
        <v>-11.24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>
        <f>SUMIFS(H$2:H42,D$2:D42,D42)-SUMIFS(G$2:G42,D$2:D42,D42)</f>
        <v/>
      </c>
      <c r="S42" t="n">
        <v>-88.87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>
        <f>SUMIFS(H$2:H43,D$2:D43,D43)-SUMIFS(G$2:G43,D$2:D43,D43)</f>
        <v/>
      </c>
      <c r="S43" t="n">
        <v>-75.64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>
        <f>SUMIFS(H$2:H44,D$2:D44,D44)-SUMIFS(G$2:G44,D$2:D44,D44)</f>
        <v/>
      </c>
      <c r="S44" t="n">
        <v>-19.09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>
        <f>SUMIFS(H$2:H45,D$2:D45,D45)-SUMIFS(G$2:G45,D$2:D45,D45)</f>
        <v/>
      </c>
      <c r="S45" t="n">
        <v>96.54000000000001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>
        <f>SUMIFS(H$2:H46,D$2:D46,D46)-SUMIFS(G$2:G46,D$2:D46,D46)</f>
        <v/>
      </c>
      <c r="S46" t="n">
        <v>64.05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>
        <f>SUMIFS(H$2:H47,D$2:D47,D47)-SUMIFS(G$2:G47,D$2:D47,D47)</f>
        <v/>
      </c>
      <c r="S47" t="n">
        <v>68.34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  <c r="S48" t="n">
        <v>9.34</v>
      </c>
    </row>
  </sheetData>
  <dataValidations count="1">
    <dataValidation allowBlank="1" showDropDown="0" showErrorMessage="1" showInputMessage="1" sqref="D2:D48" type="list">
      <formula1>listaEmpleados</formula1>
    </dataValidation>
  </dataValidations>
  <hyperlinks>
    <hyperlink display="REGRESAR" location="NOMINA!A1" ref="B48"/>
  </hyperlinks>
  <pageMargins bottom="0.75" footer="0.3" header="0.3" left="0.7" right="0.7" top="0.75"/>
  <pageSetup fitToHeight="0" orientation="landscape" paperSize="9" scale="19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2026-05-07T22:44:21Z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BC35A9A233A34CF8AFE78BE3A0D361BF_12</vt:lpwstr>
  </property>
  <property fmtid="{D5CDD505-2E9C-101B-9397-08002B2CF9AE}" name="KSOProductBuildVer" pid="3">
    <vt:lpwstr>2052-12.1.0.16729</vt:lpwstr>
  </property>
</Properties>
</file>