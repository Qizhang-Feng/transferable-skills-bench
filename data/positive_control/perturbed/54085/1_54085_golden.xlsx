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napsho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color theme="1"/>
      <sz val="12"/>
    </font>
    <font>
      <name val="Arial"/>
      <charset val="134"/>
      <color theme="1"/>
      <sz val="18"/>
    </font>
    <font>
      <name val="Arial"/>
      <charset val="134"/>
      <b val="1"/>
      <color theme="1"/>
      <sz val="18"/>
      <u val="single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3" fillId="2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4" fillId="0" fontId="9" numFmtId="0">
      <alignment vertical="center"/>
    </xf>
    <xf applyAlignment="1" borderId="4" fillId="0" fontId="10" numFmtId="0">
      <alignment vertical="center"/>
    </xf>
    <xf applyAlignment="1" borderId="5" fillId="0" fontId="11" numFmtId="0">
      <alignment vertical="center"/>
    </xf>
    <xf applyAlignment="1" borderId="0" fillId="0" fontId="11" numFmtId="0">
      <alignment vertical="center"/>
    </xf>
    <xf applyAlignment="1" borderId="6" fillId="3" fontId="12" numFmtId="0">
      <alignment vertical="center"/>
    </xf>
    <xf applyAlignment="1" borderId="7" fillId="4" fontId="13" numFmtId="0">
      <alignment vertical="center"/>
    </xf>
    <xf applyAlignment="1" borderId="6" fillId="4" fontId="14" numFmtId="0">
      <alignment vertical="center"/>
    </xf>
    <xf applyAlignment="1" borderId="8" fillId="5" fontId="15" numFmtId="0">
      <alignment vertical="center"/>
    </xf>
    <xf applyAlignment="1" borderId="9" fillId="0" fontId="16" numFmtId="0">
      <alignment vertical="center"/>
    </xf>
    <xf applyAlignment="1" borderId="10" fillId="0" fontId="17" numFmtId="0">
      <alignment vertical="center"/>
    </xf>
    <xf applyAlignment="1" borderId="0" fillId="6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2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</cellStyleXfs>
  <cellXfs count="5">
    <xf borderId="0" fillId="0" fontId="0" numFmtId="0" pivotButton="0" quotePrefix="0" xfId="0"/>
    <xf borderId="0" fillId="0" fontId="1" numFmtId="0" pivotButton="0" quotePrefix="0" xfId="0"/>
    <xf applyAlignment="1" borderId="0" fillId="0" fontId="2" numFmtId="0" pivotButton="0" quotePrefix="0" xfId="0">
      <alignment horizontal="center" vertical="center"/>
    </xf>
    <xf applyAlignment="1" borderId="1" fillId="0" fontId="2" numFmtId="0" pivotButton="0" quotePrefix="0" xfId="0">
      <alignment vertical="center"/>
    </xf>
    <xf borderId="2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F19" sqref="F19"/>
    </sheetView>
  </sheetViews>
  <sheetFormatPr baseColWidth="8" defaultColWidth="9" defaultRowHeight="22.5" outlineLevelRow="4"/>
  <cols>
    <col customWidth="1" max="1" min="1" style="1" width="22.2153846153846"/>
    <col customWidth="1" max="2" min="2" style="1" width="20.3307692307692"/>
    <col customWidth="1" max="3" min="3" style="1" width="20"/>
    <col customWidth="1" max="4" min="4" style="1" width="22.1076923076923"/>
    <col customWidth="1" max="16384" min="5" style="1" width="8.88461538461539"/>
  </cols>
  <sheetData>
    <row customHeight="1" ht="34.5" r="1">
      <c r="A1" s="2" t="inlineStr">
        <is>
          <t>Factor</t>
        </is>
      </c>
      <c r="B1" s="2" t="inlineStr">
        <is>
          <t>Grade</t>
        </is>
      </c>
      <c r="C1" s="3" t="inlineStr">
        <is>
          <t>Phase</t>
        </is>
      </c>
      <c r="D1" t="inlineStr">
        <is>
          <t>Item</t>
        </is>
      </c>
    </row>
    <row r="2">
      <c r="A2" s="1" t="inlineStr">
        <is>
          <t>Pears</t>
        </is>
      </c>
      <c r="B2" s="1" t="inlineStr">
        <is>
          <t>Apples</t>
        </is>
      </c>
      <c r="C2" s="4">
        <f ref="C2" t="array">IFERROR(INDEX(B:B,_xlfn.AGGREGATE(15,6,ROW($B$2:$B$5)/(1-COUNTIF($A$2:$A$10,$B$2:$B$5)),ROW(1:1))),“”)</f>
        <v/>
      </c>
      <c r="D2" t="n">
        <v>56.42</v>
      </c>
    </row>
    <row r="3">
      <c r="B3" s="1" t="inlineStr">
        <is>
          <t>Pears</t>
        </is>
      </c>
      <c r="C3" s="4">
        <f ref="C3" t="array">IFERROR(INDEX(B:B,_xlfn.AGGREGATE(15,6,ROW($B$2:$B$5)/(1-COUNTIF($A$2:$A$10,$B$2:$B$5)),ROW(2:2))),“”)</f>
        <v/>
      </c>
      <c r="D3" t="n">
        <v>-42.41</v>
      </c>
    </row>
    <row r="4">
      <c r="B4" s="1" t="inlineStr">
        <is>
          <t>Oranges</t>
        </is>
      </c>
      <c r="C4" s="4">
        <f ref="C4" t="array">IFERROR(INDEX(B:B,_xlfn.AGGREGATE(15,6,ROW($B$2:$B$5)/(1-COUNTIF($A$2:$A$10,$B$2:$B$5)),ROW(3:3))),“”)</f>
        <v/>
      </c>
      <c r="D4" t="n">
        <v>-1.17</v>
      </c>
    </row>
    <row r="5">
      <c r="B5" s="1" t="inlineStr">
        <is>
          <t>Bananas</t>
        </is>
      </c>
      <c r="C5" s="4">
        <f ref="C5" t="array">IFERROR(INDEX(B:B,_xlfn.AGGREGATE(15,6,ROW($B$2:$B$5)/(1-COUNTIF($A$2:$A$10,$B$2:$B$5)),ROW(4:4))),"")</f>
        <v/>
      </c>
      <c r="D5" t="n">
        <v>-73.95999999999999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Young</dc:creator>
  <dcterms:created xsi:type="dcterms:W3CDTF">2021-05-20T17:14:00Z</dcterms:created>
  <dcterms:modified xsi:type="dcterms:W3CDTF">2026-05-07T22:44:19Z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200791D7FF12489BB03663CF1F84059D_12</vt:lpwstr>
  </property>
  <property fmtid="{D5CDD505-2E9C-101B-9397-08002B2CF9AE}" name="KSOProductBuildVer" pid="3">
    <vt:lpwstr>2052-12.1.0.16729</vt:lpwstr>
  </property>
</Properties>
</file>